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2"/>
    <sheet name="Summary" sheetId="2" state="visible" r:id="rId3"/>
  </sheets>
  <definedNames>
    <definedName function="false" hidden="true" localSheetId="0" name="_xlnm._FilterDatabase" vbProcedure="false">Roadmap!$A$4:$L$43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<sst xmlns="http://schemas.openxmlformats.org/spreadsheetml/2006/main" count="395" uniqueCount="257">
  <si>
    <t xml:space="preserve">AMR Project Roadmap - แผนงานตั้งแต่ต้นจนจบ (Encoder/IMU calibration → Pilot)</t>
  </si>
  <si>
    <t xml:space="preserve">วิธีใช้: แก้เฉพาะคอลัมน์ 'สถานะ', 'ผู้รับผิดชอบ', 'ประมาณ (วัน)' (ตัวอักษรสีน้ำเงิน) ; Depends on 'n' = งานลำดับ n ใน phase เดียวกัน, 'Pk:n' = phase อื่น. ค่าประมาณวันเป็นการประเมินเบื้องต้นของผู้ช่วย ต้องปรับตามทีมจริง</t>
  </si>
  <si>
    <t xml:space="preserve">ID</t>
  </si>
  <si>
    <t xml:space="preserve">Phase</t>
  </si>
  <si>
    <t xml:space="preserve">งาน (Task)</t>
  </si>
  <si>
    <t xml:space="preserve">รายละเอียด / วิธีทำ</t>
  </si>
  <si>
    <t xml:space="preserve">เกณฑ์ผ่าน (Acceptance)</t>
  </si>
  <si>
    <t xml:space="preserve">เครื่องมือ / ไฟล์</t>
  </si>
  <si>
    <t xml:space="preserve">Priority</t>
  </si>
  <si>
    <t xml:space="preserve">ต้องทำก่อน (Depends on)</t>
  </si>
  <si>
    <t xml:space="preserve">ประมาณ (วัน)</t>
  </si>
  <si>
    <t xml:space="preserve">สถานะ</t>
  </si>
  <si>
    <t xml:space="preserve">ผู้รับผิดชอบ</t>
  </si>
  <si>
    <t xml:space="preserve">Safety / หมายเหตุ</t>
  </si>
  <si>
    <t xml:space="preserve">P1-01</t>
  </si>
  <si>
    <t xml:space="preserve">P1 Baseline &amp; Encoder Odometry</t>
  </si>
  <si>
    <t xml:space="preserve">ตรวจ Hardware/Wiring ล้อ-มอเตอร์-Encoder-IMU-E-stop</t>
  </si>
  <si>
    <t xml:space="preserve">เช็คขั้วสาย, การยึด IMU (แกน Z ตั้งฉากพื้น, ยึดแน่น), ความตึงสายพาน/ล้อ, ความดันยาง/สภาพล้อ</t>
  </si>
  <si>
    <t xml:space="preserve">ทุกช่อง encoder นับได้ ไม่มี pulse หาย; IMU ไม่ขยับเมื่อจับเขย่า</t>
  </si>
  <si>
    <t xml:space="preserve">Multimeter, Foxglove</t>
  </si>
  <si>
    <t xml:space="preserve">สูง</t>
  </si>
  <si>
    <t xml:space="preserve">เสร็จ</t>
  </si>
  <si>
    <t xml:space="preserve">เช็คก่อนทดสอบทุกครั้ง: E-stop ต้องตัดมอเตอร์ได้จริง</t>
  </si>
  <si>
    <t xml:space="preserve">P1-02</t>
  </si>
  <si>
    <t xml:space="preserve">ยืนยัน ENCODER_PPR = 516.85 ทั้งสองล้อ</t>
  </si>
  <si>
    <t xml:space="preserve">ใช้ค่าจาก firmware เป็น ground truth (ไม่ใช้ LEFT_PPR/RIGHT_PPR ใน wheel_joint_state_publisher.py); หมุนล้อ 10 รอบด้วยมือนับ pulse</t>
  </si>
  <si>
    <t xml:space="preserve">pulse/รอบ คลาดเคลื่อน &lt;0.5%</t>
  </si>
  <si>
    <t xml:space="preserve">stm/src/motor_control_with_pid_optimized.cpp</t>
  </si>
  <si>
    <t xml:space="preserve">1</t>
  </si>
  <si>
    <t xml:space="preserve">P1-03</t>
  </si>
  <si>
    <t xml:space="preserve">Calibrate wheel_radius / ความเร็วเชิงเส้น (ซ้าย-ขวา แยกกัน)</t>
  </si>
  <si>
    <t xml:space="preserve">วิ่งตรง 5-10 m หลายรอบ วัดระยะจริง เทียบ odom (calib_straight_node.py)</t>
  </si>
  <si>
    <t xml:space="preserve">ระยะ error &lt;1% และ drift ด้านข้าง &lt;2 cm/5 m</t>
  </si>
  <si>
    <t xml:space="preserve">calib_straight_node.py, amr_calib_panel.py</t>
  </si>
  <si>
    <t xml:space="preserve">2</t>
  </si>
  <si>
    <t xml:space="preserve">ยังไม่เริ่ม</t>
  </si>
  <si>
    <t xml:space="preserve">P1-04</t>
  </si>
  <si>
    <t xml:space="preserve">Calibrate wheel_sep (track width) ด้วยการหมุนอยู่กับที่</t>
  </si>
  <si>
    <t xml:space="preserve">หมุน 360°/720° CW และ CCW ×5 รอบ วัดมุมจริงด้วยเส้นอ้างอิง/LiDAR; wheel_sep_true = nominal × commanded / actual</t>
  </si>
  <si>
    <t xml:space="preserve">มุมสะสม error &lt;1° ต่อ 360°; CW กับ CCW ต่างกัน &lt;1%</t>
  </si>
  <si>
    <t xml:space="preserve">calib_rotate_node.py</t>
  </si>
  <si>
    <t xml:space="preserve">3</t>
  </si>
  <si>
    <t xml:space="preserve">ทดสอบความเร็วต่ำ พื้นที่โล่ง ตรวจ E-stop ก่อน</t>
  </si>
  <si>
    <t xml:space="preserve">P1-05</t>
  </si>
  <si>
    <t xml:space="preserve">Sync ค่า wheel_sep ทั้ง 4 ที่ (firmware, URDF, calib scripts, panel)</t>
  </si>
  <si>
    <t xml:space="preserve">แก้ 0.472 → ค่าใหม่ใน firmware, amr.urdf.xacro (wheel_separation), calib_rotate/straight_node, amr_calib_panel</t>
  </si>
  <si>
    <t xml:space="preserve">grep ไม่พบค่าเก่าเหลือ; build+flash ผ่าน</t>
  </si>
  <si>
    <t xml:space="preserve">git grep 0.472</t>
  </si>
  <si>
    <t xml:space="preserve">4</t>
  </si>
  <si>
    <t xml:space="preserve">Flash firmware แล้วทดสอบความเร็วต่ำก่อนใช้งานจริง</t>
  </si>
  <si>
    <t xml:space="preserve">P1-06</t>
  </si>
  <si>
    <t xml:space="preserve">ตรวจความแตกต่างซ้าย/ขวา (Motor table / PID)</t>
  </si>
  <si>
    <t xml:space="preserve">ทดสอบ step response ที่ 10-100% ตรวจ steady-state error และ overshoot; ต่อยอดจาก wheel_data และ calibration table V9.x</t>
  </si>
  <si>
    <t xml:space="preserve">error ความเร็วล้อ &lt;3% ที่ทุกช่วง; ไม่ overshoot &gt;10%</t>
  </si>
  <si>
    <t xml:space="preserve">wheel_data/, rosbag, PlotJuggler</t>
  </si>
  <si>
    <t xml:space="preserve">กลาง</t>
  </si>
  <si>
    <t xml:space="preserve">5</t>
  </si>
  <si>
    <t xml:space="preserve">P2-01</t>
  </si>
  <si>
    <t xml:space="preserve">P2 IMU Calibration</t>
  </si>
  <si>
    <t xml:space="preserve">เก็บ Gyro static noise/bias (นิ่ง 5-10 นาที)</t>
  </si>
  <si>
    <t xml:space="preserve">บันทึก /imu/data, คำนวณ bias, noise density, Allan variance (ถ้าทำได้); ตรวจอุณหภูมิ warm-up</t>
  </si>
  <si>
    <t xml:space="preserve">bias เสถียร; noise สอดคล้อง datasheet</t>
  </si>
  <si>
    <t xml:space="preserve">rosbag2, Python</t>
  </si>
  <si>
    <t xml:space="preserve">P2-02</t>
  </si>
  <si>
    <t xml:space="preserve">Calibrate Gyro scale factor Z</t>
  </si>
  <si>
    <t xml:space="preserve">หมุนมุมรู้ค่า (360° ×5) เทียบมุมจริง; gyro_scale = actual/integrated แล้วใส่ใน publish_imu()</t>
  </si>
  <si>
    <t xml:space="preserve">scale error &lt;0.5%; CW/CCW สมมาตร</t>
  </si>
  <si>
    <t xml:space="preserve">STM32 firmware, calib_rotate_node.py</t>
  </si>
  <si>
    <t xml:space="preserve">P1:4</t>
  </si>
  <si>
    <t xml:space="preserve">P2-03</t>
  </si>
  <si>
    <t xml:space="preserve">ตรวจ sign และแกน angular_velocity.z</t>
  </si>
  <si>
    <t xml:space="preserve">หมุน CCW ต้องเป็นค่าบวก (REP-103); ตรวจ frame_id ของ IMU ใน URDF</t>
  </si>
  <si>
    <t xml:space="preserve">หมุนซ้าย=+z ตรงกับ /wheel/odom</t>
  </si>
  <si>
    <t xml:space="preserve">ros2 topic echo</t>
  </si>
  <si>
    <t xml:space="preserve">ตรวจก่อนเปิด EKF เสมอ (เคยพบอาการเลี้ยวผิดใน ekf.yaml)</t>
  </si>
  <si>
    <t xml:space="preserve">P2-04</t>
  </si>
  <si>
    <t xml:space="preserve">ปรับ DLPF/sample rate และตรวจ vibration</t>
  </si>
  <si>
    <t xml:space="preserve">ทดสอบ DLPF ~20-42 Hz, ยึดฐาน IMU ให้แน่น/ใส่ damper; ตรวจ ZUPT ไม่ทำงานผิดตอนหมุน</t>
  </si>
  <si>
    <t xml:space="preserve">ความแกว่ง gyro ขณะหมุน steady &lt;±3%</t>
  </si>
  <si>
    <t xml:space="preserve">firmware config, PlotJuggler</t>
  </si>
  <si>
    <t xml:space="preserve">P2-05</t>
  </si>
  <si>
    <t xml:space="preserve">Calibrate accel (6-point) - ถ้าจะใช้งานจริง</t>
  </si>
  <si>
    <t xml:space="preserve">ทำเฉพาะเมื่อต้องใช้ ax/ay; ปกติไม่ fuse accel</t>
  </si>
  <si>
    <t xml:space="preserve">bias/scale accel ตรวจแล้ว</t>
  </si>
  <si>
    <t xml:space="preserve">-</t>
  </si>
  <si>
    <t xml:space="preserve">ต่ำ</t>
  </si>
  <si>
    <t xml:space="preserve">ทางเลือก</t>
  </si>
  <si>
    <t xml:space="preserve">P3-01</t>
  </si>
  <si>
    <t xml:space="preserve">P3 Sensor Fusion (EKF)</t>
  </si>
  <si>
    <t xml:space="preserve">เปิด imu0 ใน ekf.yaml เฉพาะ vyaw</t>
  </si>
  <si>
    <t xml:space="preserve">แก้ imu0_config ให้ true เฉพาะ vyaw; ตั้ง covariance IMU และ /wheel/odom ตามค่า noise ที่วัดได้</t>
  </si>
  <si>
    <t xml:space="preserve">EKF yaw ไม่ drift &gt;2°/รอบ ที่ 360°×5</t>
  </si>
  <si>
    <t xml:space="preserve">ekf.yaml, robot_localization</t>
  </si>
  <si>
    <t xml:space="preserve">P2:3</t>
  </si>
  <si>
    <t xml:space="preserve">P3-02</t>
  </si>
  <si>
    <t xml:space="preserve">ทดสอบ Odom: หมุน/สี่เหลี่ยม/วงกลม/กลับจุดเริ่ม (UMBmark)</t>
  </si>
  <si>
    <t xml:space="preserve">วิ่งสี่เหลี่ยม 2×2 m CW+CCW ×5 วัดตำแหน่งปลายทาง; ปรับ wheel_radius L/R และ wheel_sep</t>
  </si>
  <si>
    <t xml:space="preserve">error ตำแหน่งปลายทาง &lt;5 cm, heading &lt;2°</t>
  </si>
  <si>
    <t xml:space="preserve">calib_straight/circle_path_node.py</t>
  </si>
  <si>
    <t xml:space="preserve">P3-03</t>
  </si>
  <si>
    <t xml:space="preserve">Cross-check encoder vs IMU vs LiDAR (ดู slip)</t>
  </si>
  <si>
    <t xml:space="preserve">เพิ่ม node ตรวจ |w_enc - w_gyro| &gt; threshold แล้ว flag ล้อลื่น/ชน</t>
  </si>
  <si>
    <t xml:space="preserve">ตรวจจับ slip ได้ในการทดสอบจงใจ</t>
  </si>
  <si>
    <t xml:space="preserve">Foxglove, ros2 node</t>
  </si>
  <si>
    <t xml:space="preserve">ใช้เป็น diagnostic ไม่ใช่ safety input</t>
  </si>
  <si>
    <t xml:space="preserve">P4-01</t>
  </si>
  <si>
    <t xml:space="preserve">P4 SLAM &amp; Mapping</t>
  </si>
  <si>
    <t xml:space="preserve">ตั้งค่า LiDAR (RPLIDAR C3) + laser_filters</t>
  </si>
  <si>
    <t xml:space="preserve">ตรวจ mount, TF (base_link→laser), blank-out มุมที่บังตัวรถ, ความถี่ scan</t>
  </si>
  <si>
    <t xml:space="preserve">ไม่มี self-hit; scan เสถียร ≥10 Hz</t>
  </si>
  <si>
    <t xml:space="preserve">laser_filters.yaml, Foxglove</t>
  </si>
  <si>
    <t xml:space="preserve">P3:2</t>
  </si>
  <si>
    <t xml:space="preserve">P4-02</t>
  </si>
  <si>
    <t xml:space="preserve">Extrinsic calibration LiDAR/Camera ใน URDF</t>
  </si>
  <si>
    <t xml:space="preserve">วัด offset ตำแหน่ง/มุม เทียบกับ base_footprint; ตรวจ TF tree</t>
  </si>
  <si>
    <t xml:space="preserve">กำแพงตรงเป็นเส้นตรงเมื่อหมุนรถ</t>
  </si>
  <si>
    <t xml:space="preserve">amr.urdf.xacro, RViz</t>
  </si>
  <si>
    <t xml:space="preserve">P4-03</t>
  </si>
  <si>
    <t xml:space="preserve">ทำแผนที่ (slam_toolbox) รอบโรงงาน</t>
  </si>
  <si>
    <t xml:space="preserve">Teleop ช้าๆ (&lt;0.3 m/s), ปิด loop หลายจุด, หลีกเลี่ยงคน/ของเคลื่อนที่; บันทึก rosbag</t>
  </si>
  <si>
    <t xml:space="preserve">แผนที่ไม่เบี้ยว, loop closure ถูกต้อง</t>
  </si>
  <si>
    <t xml:space="preserve">slam_toolbox, rosboard, control panel</t>
  </si>
  <si>
    <t xml:space="preserve">P4-04</t>
  </si>
  <si>
    <t xml:space="preserve">ตัดแต่งแผนที่ + keepout/speed zones</t>
  </si>
  <si>
    <t xml:space="preserve">แก้ PGM ลบ noise; สร้าง keepout mask สำหรับโซน ESD/สายพาน/ทางเดินคน</t>
  </si>
  <si>
    <t xml:space="preserve">แผนที่สะอาด; keepout ทำงานใน Nav2</t>
  </si>
  <si>
    <t xml:space="preserve">GIMP, nav2_map_server, keepout filter</t>
  </si>
  <si>
    <t xml:space="preserve">P5-01</t>
  </si>
  <si>
    <t xml:space="preserve">P5 Localization &amp; Navigation (Nav2/MPPI)</t>
  </si>
  <si>
    <t xml:space="preserve">ตั้งค่า AMCL/localization บนแผนที่ที่สร้าง</t>
  </si>
  <si>
    <t xml:space="preserve">ตั้ง initial pose, ทดสอบ kidnapped robot, ปรับ laser model</t>
  </si>
  <si>
    <t xml:space="preserve">pose error &lt;10 cm/3° ในหลายจุด</t>
  </si>
  <si>
    <t xml:space="preserve">nav2_amcl, Foxglove</t>
  </si>
  <si>
    <t xml:space="preserve">P4:4</t>
  </si>
  <si>
    <t xml:space="preserve">P5-02</t>
  </si>
  <si>
    <t xml:space="preserve">Tune Costmap (footprint, inflation, obstacle layer + depth camera)</t>
  </si>
  <si>
    <t xml:space="preserve">ตั้ง footprint จริง, inflation ให้ผ่านทางแคบในโรงงาน, ใช้ HP60C ตรวจสิ่งกีดขวางต่ำ</t>
  </si>
  <si>
    <t xml:space="preserve">ผ่านประตู/ทางแคบตามที่กำหนดโดยไม่ชน</t>
  </si>
  <si>
    <t xml:space="preserve">nav2_params.yaml</t>
  </si>
  <si>
    <t xml:space="preserve">เว้นระยะรอบรถตาม ISO 3691-4</t>
  </si>
  <si>
    <t xml:space="preserve">P5-03</t>
  </si>
  <si>
    <t xml:space="preserve">Tune MPPI controller</t>
  </si>
  <si>
    <t xml:space="preserve">ปรับ vx_max, wz_max, critics weights, ความเร่ง/หน่วง ให้สอดคล้อง limit มอเตอร์</t>
  </si>
  <si>
    <t xml:space="preserve">ไม่แกว่ง, เลี้ยวนุ่ม, ตามเส้นทาง error &lt;10 cm</t>
  </si>
  <si>
    <t xml:space="preserve">P5-04</t>
  </si>
  <si>
    <t xml:space="preserve">Tune Behavior Tree (recovery, retry, wait)</t>
  </si>
  <si>
    <t xml:space="preserve">ตั้ง recovery เมื่อถูกบล็อก, timeout, สั่งรอ/ถอย</t>
  </si>
  <si>
    <t xml:space="preserve">ไม่ค้าง ไม่วนไม่จบ; รายงานสถานะได้</t>
  </si>
  <si>
    <t xml:space="preserve">behavior_trees/</t>
  </si>
  <si>
    <t xml:space="preserve">P5-05</t>
  </si>
  <si>
    <t xml:space="preserve">ทดสอบ Navigation ระยะยาว (multi-waypoint, 50+ รอบ)</t>
  </si>
  <si>
    <t xml:space="preserve">วิ่งเส้นทางจริงซ้ำ วัด success rate, เวลา, จำนวน recovery</t>
  </si>
  <si>
    <t xml:space="preserve">success ≥95% และไม่มีการชน</t>
  </si>
  <si>
    <t xml:space="preserve">rosbag, Foxglove</t>
  </si>
  <si>
    <t xml:space="preserve">P6-01</t>
  </si>
  <si>
    <t xml:space="preserve">P6 Safety &amp; Compliance (ISO 3691-4)</t>
  </si>
  <si>
    <t xml:space="preserve">ระบุ Hazard/Risk Assessment (ISO 12100 / ISO 3691-4)</t>
  </si>
  <si>
    <t xml:space="preserve">ระบุอันตราย: ชนคน, ตกขอบ, ทับเท้า, Payload หล่น; กำหนด PL/SIL</t>
  </si>
  <si>
    <t xml:space="preserve">เอกสาร Risk Assessment อนุมัติ</t>
  </si>
  <si>
    <t xml:space="preserve">AMR_AGV_Safety_Checklist.xlsx</t>
  </si>
  <si>
    <t xml:space="preserve">หัวใจของมาตรฐาน</t>
  </si>
  <si>
    <t xml:space="preserve">P6-02</t>
  </si>
  <si>
    <t xml:space="preserve">E-stop ฮาร์ดแวร์ (ตัดพลังมอเตอร์ ไม่ผ่าน software)</t>
  </si>
  <si>
    <t xml:space="preserve">ติดตั้ง/ทดสอบวงจร E-stop, ปุ่มบนตัวรถ, ระยะหยุด</t>
  </si>
  <si>
    <t xml:space="preserve">ระยะหยุดตามที่คำนวณ; ตัดพลังได้ทุกกรณี</t>
  </si>
  <si>
    <t xml:space="preserve">Multimeter, ทดสอบ</t>
  </si>
  <si>
    <t xml:space="preserve">ต้องเป็นวงจรอิสระจาก Jetson/ROS</t>
  </si>
  <si>
    <t xml:space="preserve">P6-03</t>
  </si>
  <si>
    <t xml:space="preserve">Safety LiDAR / Protective field / Bumper</t>
  </si>
  <si>
    <t xml:space="preserve">ตั้งโซน Stop/Slow ตามความเร็วและระยะเบรก; ทดสอบวัตถุมาตรฐาน</t>
  </si>
  <si>
    <t xml:space="preserve">ตรวจจับคน/ขาที่ระยะที่กำหนด</t>
  </si>
  <si>
    <t xml:space="preserve">Safety scanner/bumper</t>
  </si>
  <si>
    <t xml:space="preserve">RPLIDAR C3 ไม่ใช่ safety-rated</t>
  </si>
  <si>
    <t xml:space="preserve">P6-04</t>
  </si>
  <si>
    <t xml:space="preserve">ตัวบ่งชี้เตือน (ไฟ/เสียง) + จำกัดความเร็วตามโซน</t>
  </si>
  <si>
    <t xml:space="preserve">ไฟสถานะ, buzzer ตอนถอย/เลี้ยว, ความเร็ว ≤ ตามพื้นที่คนเดิน</t>
  </si>
  <si>
    <t xml:space="preserve">ทดสอบผ่านตาม checklist</t>
  </si>
  <si>
    <t xml:space="preserve">P6-05</t>
  </si>
  <si>
    <t xml:space="preserve">Watchdog / Fail-safe (micro-ROS ขาด, cmd_vel timeout)</t>
  </si>
  <si>
    <t xml:space="preserve">STM32 หยุดมอเตอร์เมื่อไม่มีคำสั่ง &gt;X ms; ตรวจ Jetson ค้าง/สาย USB หลุด</t>
  </si>
  <si>
    <t xml:space="preserve">หยุดภายใน timeout ทุกกรณีทดสอบ</t>
  </si>
  <si>
    <t xml:space="preserve">firmware, micro-ROS agent</t>
  </si>
  <si>
    <t xml:space="preserve">P6-06</t>
  </si>
  <si>
    <t xml:space="preserve">ทดสอบ Safety functions และบันทึกผล</t>
  </si>
  <si>
    <t xml:space="preserve">ทำตาม checklist, เก็บหลักฐาน/รูป/วิดีโอ</t>
  </si>
  <si>
    <t xml:space="preserve">ทุกข้อ pass ก่อนใช้กับคน</t>
  </si>
  <si>
    <t xml:space="preserve">2,3,4,5</t>
  </si>
  <si>
    <t xml:space="preserve">ห้ามใช้งานใกล้คนก่อนผ่านข้อนี้</t>
  </si>
  <si>
    <t xml:space="preserve">P7-01</t>
  </si>
  <si>
    <t xml:space="preserve">P7 System Integration &amp; Operations</t>
  </si>
  <si>
    <t xml:space="preserve">Bringup อัตโนมัติ (systemd/launch) + Watchdog Jetson</t>
  </si>
  <si>
    <t xml:space="preserve">auto-start ROS2 stack, restart เมื่อ crash, ตรวจ power mode/temperature</t>
  </si>
  <si>
    <t xml:space="preserve">เปิดเครื่องแล้วพร้อมใช้ ≤ 2 นาที</t>
  </si>
  <si>
    <t xml:space="preserve">systemd, bringup.launch.py</t>
  </si>
  <si>
    <t xml:space="preserve">P5:5</t>
  </si>
  <si>
    <t xml:space="preserve">P7-02</t>
  </si>
  <si>
    <t xml:space="preserve">Control panel / Foxglove dashboard สำหรับ Operator</t>
  </si>
  <si>
    <t xml:space="preserve">ปุ่ม Start/Stop, เลือกเส้นทาง, แสดงแบตเตอรี่/ข้อผิดพลาด (ภาษาไทย)</t>
  </si>
  <si>
    <t xml:space="preserve">operator ใช้ได้โดยไม่ต้องใช้ terminal</t>
  </si>
  <si>
    <t xml:space="preserve">amr_control_panel.py</t>
  </si>
  <si>
    <t xml:space="preserve">ผู้ใช้คือ operator ไลน์ PCB</t>
  </si>
  <si>
    <t xml:space="preserve">P7-03</t>
  </si>
  <si>
    <t xml:space="preserve">Mission/Station: Docking / Payload / Handover</t>
  </si>
  <si>
    <t xml:space="preserve">กำหนด station (SMT, AOI, Warehouse), การจอดเข้าจุดแม่นยำ, ตรวจ Payload</t>
  </si>
  <si>
    <t xml:space="preserve">จอดคลาดเคลื่อน &lt;2 cm (หรือตามงาน)</t>
  </si>
  <si>
    <t xml:space="preserve">Nav2 docking, AprilTag/reflector</t>
  </si>
  <si>
    <t xml:space="preserve">ตรวจ ESD ของ Payload/ล้อ</t>
  </si>
  <si>
    <t xml:space="preserve">P7-04</t>
  </si>
  <si>
    <t xml:space="preserve">Battery/Charging management</t>
  </si>
  <si>
    <t xml:space="preserve">อ่านแรงดัน/SoC, ขีดจำกัดต่ำ→กลับ charge, ทดสอบ discharge curve</t>
  </si>
  <si>
    <t xml:space="preserve">ไม่ดับกลางทาง; กลับจุดชาร์จอัตโนมัติ</t>
  </si>
  <si>
    <t xml:space="preserve">STM32 ADC, BMS</t>
  </si>
  <si>
    <t xml:space="preserve">P7-05</t>
  </si>
  <si>
    <t xml:space="preserve">Logging / Diagnostics / Remote monitoring</t>
  </si>
  <si>
    <t xml:space="preserve">บันทึก rosbag เหตุผิดปกติ, health topic, Foxglove remote</t>
  </si>
  <si>
    <t xml:space="preserve">ย้อนดูเหตุการณ์ได้</t>
  </si>
  <si>
    <t xml:space="preserve">rosbag2, diagnostics</t>
  </si>
  <si>
    <t xml:space="preserve">P7-06</t>
  </si>
  <si>
    <t xml:space="preserve">Fleet Management (ถ้ามีหลายคัน)</t>
  </si>
  <si>
    <t xml:space="preserve">ทำ traffic management, job queue, MQTT/Open-RMF</t>
  </si>
  <si>
    <t xml:space="preserve">2+ คันไม่ชน/ไม่ deadlock</t>
  </si>
  <si>
    <t xml:space="preserve">Open-RMF</t>
  </si>
  <si>
    <t xml:space="preserve">ทางเลือกระยะถัดไป</t>
  </si>
  <si>
    <t xml:space="preserve">P8-01</t>
  </si>
  <si>
    <t xml:space="preserve">P8 Pilot, Documentation &amp; Handover</t>
  </si>
  <si>
    <t xml:space="preserve">Pilot run ในไลน์จริง (1-2 สัปดาห์)</t>
  </si>
  <si>
    <t xml:space="preserve">ให้ operator ใช้งานจริง บันทึกปัญหา/ MTBF/ success rate</t>
  </si>
  <si>
    <t xml:space="preserve">≥95% mission success, ไม่มี safety incident</t>
  </si>
  <si>
    <t xml:space="preserve">Log, checklist</t>
  </si>
  <si>
    <t xml:space="preserve">P6:6,P7:1</t>
  </si>
  <si>
    <t xml:space="preserve">P8-02</t>
  </si>
  <si>
    <t xml:space="preserve">เอกสาร: คู่มือ Operator + Maintenance + SOP ฉุกเฉิน</t>
  </si>
  <si>
    <t xml:space="preserve">ขั้นตอนเปิด/ปิด, ชาร์จ, ล้างแผนที่, การตรวจประจำวัน, แก้ปัญหาเบื้องต้น</t>
  </si>
  <si>
    <t xml:space="preserve">ผู้อื่นทำตามเอกสารได้เอง</t>
  </si>
  <si>
    <t xml:space="preserve">document/</t>
  </si>
  <si>
    <t xml:space="preserve">P8-03</t>
  </si>
  <si>
    <t xml:space="preserve">อบรม Operator/ช่างซ่อมบำรุง</t>
  </si>
  <si>
    <t xml:space="preserve">สอนปุ่ม/สัญญาณ/E-stop, Preventive Maintenance (ล้อ, encoder, LiDAR ความสะอาด)</t>
  </si>
  <si>
    <t xml:space="preserve">ทุกคนผ่านแบบทดสอบ</t>
  </si>
  <si>
    <t xml:space="preserve">แบบทดสอบ.ods</t>
  </si>
  <si>
    <t xml:space="preserve">P8-04</t>
  </si>
  <si>
    <t xml:space="preserve">Backup/Version control (git tag) + Recalibration schedule</t>
  </si>
  <si>
    <t xml:space="preserve">tag ค่า calibration/แผนที่/firmware; กำหนดรอบ recalibrate (เปลี่ยนล้อ/ทุก N เดือน)</t>
  </si>
  <si>
    <t xml:space="preserve">restore ระบบได้ภายใน 1 ชม.</t>
  </si>
  <si>
    <t xml:space="preserve">git</t>
  </si>
  <si>
    <t xml:space="preserve">สรุปความคืบหน้าตาม Phase (คำนวณอัตโนมัติจากชีต Roadmap)</t>
  </si>
  <si>
    <t xml:space="preserve">จำนวนงาน</t>
  </si>
  <si>
    <t xml:space="preserve">กำลังทำ</t>
  </si>
  <si>
    <t xml:space="preserve">ติดปัญหา</t>
  </si>
  <si>
    <t xml:space="preserve">% เสร็จ</t>
  </si>
  <si>
    <t xml:space="preserve">วันรวม (ประมาณ)</t>
  </si>
  <si>
    <t xml:space="preserve">วันคงเหลือ</t>
  </si>
  <si>
    <t xml:space="preserve">รวมทั้งหมด</t>
  </si>
  <si>
    <t xml:space="preserve">หมายเหตุ:</t>
  </si>
  <si>
    <t xml:space="preserve">- ค่า 'ประมาณ (วัน)' เป็นการประเมินเบื้องต้นโดยผู้ช่วย ไม่ใช่ข้อมูลจากทีม ให้ปรับตามกำลังคนจริง (วันรวมเป็น man-day ต่อเนื่อง ไม่ได้ทำขนานกัน)</t>
  </si>
  <si>
    <t xml:space="preserve">- ลำดับแนะนำ: P1 → P2 → P3 → P4 → P5 ; P6 (Safety) ทำขนานตั้งแต่ต้นและต้องผ่านก่อน Pilot ใน P8</t>
  </si>
  <si>
    <t xml:space="preserve">- งานสำคัญทันที (ต่อจากผลทดสอบล่าสุด): P1-04 wheel_sep, P2-02 gyro scale, P2-03 ตรวจ sign, P3-01 เปิด IMU ใน EKF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</si>
</sst>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J15" activeCellId="0" sqref="J1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52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6"/>
  </cols>
  <sheetData>
    <row r="1" customFormat="false" ht="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/>
      <c r="I5" s="5" t="n">
        <v>0.5</v>
      </c>
      <c r="J5" s="5" t="s">
        <v>21</v>
      </c>
      <c r="K5" s="5"/>
      <c r="L5" s="6" t="s">
        <v>22</v>
      </c>
    </row>
    <row r="6" customFormat="false" ht="23.85" hidden="false" customHeight="false" outlineLevel="0" collapsed="false">
      <c r="A6" s="4" t="s">
        <v>23</v>
      </c>
      <c r="B6" s="4" t="s">
        <v>15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20</v>
      </c>
      <c r="H6" s="4" t="s">
        <v>28</v>
      </c>
      <c r="I6" s="5" t="n">
        <v>0.5</v>
      </c>
      <c r="J6" s="5" t="s">
        <v>21</v>
      </c>
      <c r="K6" s="5"/>
      <c r="L6" s="4"/>
    </row>
    <row r="7" customFormat="false" ht="15" hidden="false" customHeight="false" outlineLevel="0" collapsed="false">
      <c r="A7" s="4" t="s">
        <v>29</v>
      </c>
      <c r="B7" s="4" t="s">
        <v>15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20</v>
      </c>
      <c r="H7" s="4" t="s">
        <v>34</v>
      </c>
      <c r="I7" s="5" t="n">
        <v>1</v>
      </c>
      <c r="J7" s="5" t="s">
        <v>35</v>
      </c>
      <c r="K7" s="5"/>
      <c r="L7" s="4"/>
    </row>
    <row r="8" customFormat="false" ht="15" hidden="false" customHeight="false" outlineLevel="0" collapsed="false">
      <c r="A8" s="4" t="s">
        <v>36</v>
      </c>
      <c r="B8" s="4" t="s">
        <v>15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20</v>
      </c>
      <c r="H8" s="4" t="s">
        <v>41</v>
      </c>
      <c r="I8" s="5" t="n">
        <v>1</v>
      </c>
      <c r="J8" s="5" t="s">
        <v>35</v>
      </c>
      <c r="K8" s="5"/>
      <c r="L8" s="6" t="s">
        <v>42</v>
      </c>
    </row>
    <row r="9" customFormat="false" ht="15" hidden="false" customHeight="false" outlineLevel="0" collapsed="false">
      <c r="A9" s="4" t="s">
        <v>43</v>
      </c>
      <c r="B9" s="4" t="s">
        <v>15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20</v>
      </c>
      <c r="H9" s="4" t="s">
        <v>48</v>
      </c>
      <c r="I9" s="5" t="n">
        <v>0.5</v>
      </c>
      <c r="J9" s="5" t="s">
        <v>35</v>
      </c>
      <c r="K9" s="5"/>
      <c r="L9" s="4" t="s">
        <v>49</v>
      </c>
    </row>
    <row r="10" customFormat="false" ht="15" hidden="false" customHeight="false" outlineLevel="0" collapsed="false">
      <c r="A10" s="4" t="s">
        <v>50</v>
      </c>
      <c r="B10" s="4" t="s">
        <v>15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 t="n">
        <v>2</v>
      </c>
      <c r="J10" s="5" t="s">
        <v>35</v>
      </c>
      <c r="K10" s="5"/>
      <c r="L10" s="4"/>
    </row>
    <row r="11" customFormat="false" ht="15" hidden="false" customHeight="fals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55</v>
      </c>
      <c r="H11" s="4" t="s">
        <v>28</v>
      </c>
      <c r="I11" s="5" t="n">
        <v>0.5</v>
      </c>
      <c r="J11" s="5" t="s">
        <v>35</v>
      </c>
      <c r="K11" s="5"/>
      <c r="L11" s="4"/>
    </row>
    <row r="12" customFormat="false" ht="15" hidden="false" customHeight="false" outlineLevel="0" collapsed="false">
      <c r="A12" s="4" t="s">
        <v>63</v>
      </c>
      <c r="B12" s="4" t="s">
        <v>58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20</v>
      </c>
      <c r="H12" s="4" t="s">
        <v>68</v>
      </c>
      <c r="I12" s="5" t="n">
        <v>1</v>
      </c>
      <c r="J12" s="5" t="s">
        <v>35</v>
      </c>
      <c r="K12" s="5"/>
      <c r="L12" s="4"/>
    </row>
    <row r="13" customFormat="false" ht="15" hidden="false" customHeight="false" outlineLevel="0" collapsed="false">
      <c r="A13" s="4" t="s">
        <v>69</v>
      </c>
      <c r="B13" s="4" t="s">
        <v>58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20</v>
      </c>
      <c r="H13" s="4" t="s">
        <v>34</v>
      </c>
      <c r="I13" s="5" t="n">
        <v>0.25</v>
      </c>
      <c r="J13" s="5" t="s">
        <v>35</v>
      </c>
      <c r="K13" s="5"/>
      <c r="L13" s="4" t="s">
        <v>74</v>
      </c>
    </row>
    <row r="14" customFormat="false" ht="15" hidden="false" customHeight="false" outlineLevel="0" collapsed="false">
      <c r="A14" s="4" t="s">
        <v>75</v>
      </c>
      <c r="B14" s="4" t="s">
        <v>58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55</v>
      </c>
      <c r="H14" s="4" t="s">
        <v>41</v>
      </c>
      <c r="I14" s="5" t="n">
        <v>1</v>
      </c>
      <c r="J14" s="5" t="s">
        <v>35</v>
      </c>
      <c r="K14" s="5"/>
      <c r="L14" s="4"/>
    </row>
    <row r="15" customFormat="false" ht="15" hidden="false" customHeight="false" outlineLevel="0" collapsed="false">
      <c r="A15" s="4" t="s">
        <v>80</v>
      </c>
      <c r="B15" s="4" t="s">
        <v>58</v>
      </c>
      <c r="C15" s="4" t="s">
        <v>81</v>
      </c>
      <c r="D15" s="4" t="s">
        <v>82</v>
      </c>
      <c r="E15" s="4" t="s">
        <v>83</v>
      </c>
      <c r="F15" s="4" t="s">
        <v>84</v>
      </c>
      <c r="G15" s="4" t="s">
        <v>85</v>
      </c>
      <c r="H15" s="4" t="s">
        <v>28</v>
      </c>
      <c r="I15" s="5" t="n">
        <v>1</v>
      </c>
      <c r="J15" s="5" t="s">
        <v>35</v>
      </c>
      <c r="K15" s="5"/>
      <c r="L15" s="4" t="s">
        <v>86</v>
      </c>
    </row>
    <row r="16" customFormat="false" ht="15" hidden="false" customHeight="false" outlineLevel="0" collapsed="false">
      <c r="A16" s="4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20</v>
      </c>
      <c r="H16" s="4" t="s">
        <v>93</v>
      </c>
      <c r="I16" s="5" t="n">
        <v>1</v>
      </c>
      <c r="J16" s="5" t="s">
        <v>35</v>
      </c>
      <c r="K16" s="5"/>
      <c r="L16" s="4"/>
    </row>
    <row r="17" customFormat="false" ht="15" hidden="false" customHeight="false" outlineLevel="0" collapsed="false">
      <c r="A17" s="4" t="s">
        <v>94</v>
      </c>
      <c r="B17" s="4" t="s">
        <v>88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20</v>
      </c>
      <c r="H17" s="4" t="s">
        <v>28</v>
      </c>
      <c r="I17" s="5" t="n">
        <v>2</v>
      </c>
      <c r="J17" s="5" t="s">
        <v>35</v>
      </c>
      <c r="K17" s="5"/>
      <c r="L17" s="4"/>
    </row>
    <row r="18" customFormat="false" ht="15" hidden="false" customHeight="false" outlineLevel="0" collapsed="false">
      <c r="A18" s="4" t="s">
        <v>99</v>
      </c>
      <c r="B18" s="4" t="s">
        <v>88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55</v>
      </c>
      <c r="H18" s="4" t="s">
        <v>34</v>
      </c>
      <c r="I18" s="5" t="n">
        <v>1</v>
      </c>
      <c r="J18" s="5" t="s">
        <v>35</v>
      </c>
      <c r="K18" s="5"/>
      <c r="L18" s="6" t="s">
        <v>104</v>
      </c>
    </row>
    <row r="19" customFormat="false" ht="15" hidden="false" customHeight="false" outlineLevel="0" collapsed="false">
      <c r="A19" s="4" t="s">
        <v>105</v>
      </c>
      <c r="B19" s="4" t="s">
        <v>106</v>
      </c>
      <c r="C19" s="4" t="s">
        <v>107</v>
      </c>
      <c r="D19" s="4" t="s">
        <v>108</v>
      </c>
      <c r="E19" s="4" t="s">
        <v>109</v>
      </c>
      <c r="F19" s="4" t="s">
        <v>110</v>
      </c>
      <c r="G19" s="4" t="s">
        <v>20</v>
      </c>
      <c r="H19" s="4" t="s">
        <v>111</v>
      </c>
      <c r="I19" s="5" t="n">
        <v>1</v>
      </c>
      <c r="J19" s="5" t="s">
        <v>35</v>
      </c>
      <c r="K19" s="5"/>
      <c r="L19" s="4"/>
    </row>
    <row r="20" customFormat="false" ht="15" hidden="false" customHeight="false" outlineLevel="0" collapsed="false">
      <c r="A20" s="4" t="s">
        <v>112</v>
      </c>
      <c r="B20" s="4" t="s">
        <v>106</v>
      </c>
      <c r="C20" s="4" t="s">
        <v>113</v>
      </c>
      <c r="D20" s="4" t="s">
        <v>114</v>
      </c>
      <c r="E20" s="4" t="s">
        <v>115</v>
      </c>
      <c r="F20" s="4" t="s">
        <v>116</v>
      </c>
      <c r="G20" s="4" t="s">
        <v>20</v>
      </c>
      <c r="H20" s="4" t="s">
        <v>28</v>
      </c>
      <c r="I20" s="5" t="n">
        <v>1</v>
      </c>
      <c r="J20" s="5" t="s">
        <v>35</v>
      </c>
      <c r="K20" s="5"/>
      <c r="L20" s="4"/>
    </row>
    <row r="21" customFormat="false" ht="15" hidden="false" customHeight="false" outlineLevel="0" collapsed="false">
      <c r="A21" s="4" t="s">
        <v>117</v>
      </c>
      <c r="B21" s="4" t="s">
        <v>106</v>
      </c>
      <c r="C21" s="4" t="s">
        <v>118</v>
      </c>
      <c r="D21" s="4" t="s">
        <v>119</v>
      </c>
      <c r="E21" s="4" t="s">
        <v>120</v>
      </c>
      <c r="F21" s="4" t="s">
        <v>121</v>
      </c>
      <c r="G21" s="4" t="s">
        <v>20</v>
      </c>
      <c r="H21" s="4" t="s">
        <v>34</v>
      </c>
      <c r="I21" s="5" t="n">
        <v>2</v>
      </c>
      <c r="J21" s="5" t="s">
        <v>35</v>
      </c>
      <c r="K21" s="5"/>
      <c r="L21" s="4"/>
    </row>
    <row r="22" customFormat="false" ht="15" hidden="false" customHeight="false" outlineLevel="0" collapsed="false">
      <c r="A22" s="4" t="s">
        <v>122</v>
      </c>
      <c r="B22" s="4" t="s">
        <v>106</v>
      </c>
      <c r="C22" s="4" t="s">
        <v>123</v>
      </c>
      <c r="D22" s="4" t="s">
        <v>124</v>
      </c>
      <c r="E22" s="4" t="s">
        <v>125</v>
      </c>
      <c r="F22" s="4" t="s">
        <v>126</v>
      </c>
      <c r="G22" s="4" t="s">
        <v>55</v>
      </c>
      <c r="H22" s="4" t="s">
        <v>41</v>
      </c>
      <c r="I22" s="5" t="n">
        <v>1</v>
      </c>
      <c r="J22" s="5" t="s">
        <v>35</v>
      </c>
      <c r="K22" s="5"/>
      <c r="L22" s="4"/>
    </row>
    <row r="23" customFormat="false" ht="15" hidden="false" customHeight="false" outlineLevel="0" collapsed="false">
      <c r="A23" s="4" t="s">
        <v>127</v>
      </c>
      <c r="B23" s="4" t="s">
        <v>128</v>
      </c>
      <c r="C23" s="4" t="s">
        <v>129</v>
      </c>
      <c r="D23" s="4" t="s">
        <v>130</v>
      </c>
      <c r="E23" s="4" t="s">
        <v>131</v>
      </c>
      <c r="F23" s="4" t="s">
        <v>132</v>
      </c>
      <c r="G23" s="4" t="s">
        <v>20</v>
      </c>
      <c r="H23" s="4" t="s">
        <v>133</v>
      </c>
      <c r="I23" s="5" t="n">
        <v>1</v>
      </c>
      <c r="J23" s="5" t="s">
        <v>35</v>
      </c>
      <c r="K23" s="5"/>
      <c r="L23" s="4"/>
    </row>
    <row r="24" customFormat="false" ht="15" hidden="false" customHeight="false" outlineLevel="0" collapsed="false">
      <c r="A24" s="4" t="s">
        <v>134</v>
      </c>
      <c r="B24" s="4" t="s">
        <v>128</v>
      </c>
      <c r="C24" s="4" t="s">
        <v>135</v>
      </c>
      <c r="D24" s="4" t="s">
        <v>136</v>
      </c>
      <c r="E24" s="4" t="s">
        <v>137</v>
      </c>
      <c r="F24" s="4" t="s">
        <v>138</v>
      </c>
      <c r="G24" s="4" t="s">
        <v>20</v>
      </c>
      <c r="H24" s="4" t="s">
        <v>28</v>
      </c>
      <c r="I24" s="5" t="n">
        <v>2</v>
      </c>
      <c r="J24" s="5" t="s">
        <v>35</v>
      </c>
      <c r="K24" s="5"/>
      <c r="L24" s="6" t="s">
        <v>139</v>
      </c>
    </row>
    <row r="25" customFormat="false" ht="15" hidden="false" customHeight="false" outlineLevel="0" collapsed="false">
      <c r="A25" s="4" t="s">
        <v>140</v>
      </c>
      <c r="B25" s="4" t="s">
        <v>128</v>
      </c>
      <c r="C25" s="4" t="s">
        <v>141</v>
      </c>
      <c r="D25" s="4" t="s">
        <v>142</v>
      </c>
      <c r="E25" s="4" t="s">
        <v>143</v>
      </c>
      <c r="F25" s="4" t="s">
        <v>138</v>
      </c>
      <c r="G25" s="4" t="s">
        <v>20</v>
      </c>
      <c r="H25" s="4" t="s">
        <v>34</v>
      </c>
      <c r="I25" s="5" t="n">
        <v>3</v>
      </c>
      <c r="J25" s="5" t="s">
        <v>35</v>
      </c>
      <c r="K25" s="5"/>
      <c r="L25" s="4"/>
    </row>
    <row r="26" customFormat="false" ht="15" hidden="false" customHeight="false" outlineLevel="0" collapsed="false">
      <c r="A26" s="4" t="s">
        <v>144</v>
      </c>
      <c r="B26" s="4" t="s">
        <v>128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55</v>
      </c>
      <c r="H26" s="4" t="s">
        <v>41</v>
      </c>
      <c r="I26" s="5" t="n">
        <v>2</v>
      </c>
      <c r="J26" s="5" t="s">
        <v>35</v>
      </c>
      <c r="K26" s="5"/>
      <c r="L26" s="4"/>
    </row>
    <row r="27" customFormat="false" ht="15" hidden="false" customHeight="false" outlineLevel="0" collapsed="false">
      <c r="A27" s="4" t="s">
        <v>149</v>
      </c>
      <c r="B27" s="4" t="s">
        <v>128</v>
      </c>
      <c r="C27" s="4" t="s">
        <v>150</v>
      </c>
      <c r="D27" s="4" t="s">
        <v>151</v>
      </c>
      <c r="E27" s="4" t="s">
        <v>152</v>
      </c>
      <c r="F27" s="4" t="s">
        <v>153</v>
      </c>
      <c r="G27" s="4" t="s">
        <v>20</v>
      </c>
      <c r="H27" s="4" t="s">
        <v>48</v>
      </c>
      <c r="I27" s="5" t="n">
        <v>3</v>
      </c>
      <c r="J27" s="5" t="s">
        <v>35</v>
      </c>
      <c r="K27" s="5"/>
      <c r="L27" s="4"/>
    </row>
    <row r="28" customFormat="false" ht="15" hidden="false" customHeight="false" outlineLevel="0" collapsed="false">
      <c r="A28" s="4" t="s">
        <v>154</v>
      </c>
      <c r="B28" s="4" t="s">
        <v>155</v>
      </c>
      <c r="C28" s="4" t="s">
        <v>156</v>
      </c>
      <c r="D28" s="4" t="s">
        <v>157</v>
      </c>
      <c r="E28" s="4" t="s">
        <v>158</v>
      </c>
      <c r="F28" s="4" t="s">
        <v>159</v>
      </c>
      <c r="G28" s="4" t="s">
        <v>20</v>
      </c>
      <c r="H28" s="4"/>
      <c r="I28" s="5" t="n">
        <v>2</v>
      </c>
      <c r="J28" s="5" t="s">
        <v>35</v>
      </c>
      <c r="K28" s="5"/>
      <c r="L28" s="4" t="s">
        <v>160</v>
      </c>
    </row>
    <row r="29" customFormat="false" ht="15" hidden="false" customHeight="false" outlineLevel="0" collapsed="false">
      <c r="A29" s="4" t="s">
        <v>161</v>
      </c>
      <c r="B29" s="4" t="s">
        <v>155</v>
      </c>
      <c r="C29" s="4" t="s">
        <v>162</v>
      </c>
      <c r="D29" s="4" t="s">
        <v>163</v>
      </c>
      <c r="E29" s="4" t="s">
        <v>164</v>
      </c>
      <c r="F29" s="4" t="s">
        <v>165</v>
      </c>
      <c r="G29" s="4" t="s">
        <v>20</v>
      </c>
      <c r="H29" s="4" t="s">
        <v>28</v>
      </c>
      <c r="I29" s="5" t="n">
        <v>2</v>
      </c>
      <c r="J29" s="5" t="s">
        <v>35</v>
      </c>
      <c r="K29" s="5"/>
      <c r="L29" s="6" t="s">
        <v>166</v>
      </c>
    </row>
    <row r="30" customFormat="false" ht="15" hidden="false" customHeight="false" outlineLevel="0" collapsed="false">
      <c r="A30" s="4" t="s">
        <v>167</v>
      </c>
      <c r="B30" s="4" t="s">
        <v>155</v>
      </c>
      <c r="C30" s="4" t="s">
        <v>168</v>
      </c>
      <c r="D30" s="4" t="s">
        <v>169</v>
      </c>
      <c r="E30" s="4" t="s">
        <v>170</v>
      </c>
      <c r="F30" s="4" t="s">
        <v>171</v>
      </c>
      <c r="G30" s="4" t="s">
        <v>20</v>
      </c>
      <c r="H30" s="4" t="s">
        <v>28</v>
      </c>
      <c r="I30" s="5" t="n">
        <v>3</v>
      </c>
      <c r="J30" s="5" t="s">
        <v>35</v>
      </c>
      <c r="K30" s="5"/>
      <c r="L30" s="6" t="s">
        <v>172</v>
      </c>
    </row>
    <row r="31" customFormat="false" ht="15" hidden="false" customHeight="false" outlineLevel="0" collapsed="false">
      <c r="A31" s="4" t="s">
        <v>173</v>
      </c>
      <c r="B31" s="4" t="s">
        <v>155</v>
      </c>
      <c r="C31" s="4" t="s">
        <v>174</v>
      </c>
      <c r="D31" s="4" t="s">
        <v>175</v>
      </c>
      <c r="E31" s="4" t="s">
        <v>176</v>
      </c>
      <c r="F31" s="4" t="s">
        <v>84</v>
      </c>
      <c r="G31" s="4" t="s">
        <v>55</v>
      </c>
      <c r="H31" s="4" t="s">
        <v>34</v>
      </c>
      <c r="I31" s="5" t="n">
        <v>1</v>
      </c>
      <c r="J31" s="5" t="s">
        <v>35</v>
      </c>
      <c r="K31" s="5"/>
      <c r="L31" s="4"/>
    </row>
    <row r="32" customFormat="false" ht="15" hidden="false" customHeight="false" outlineLevel="0" collapsed="false">
      <c r="A32" s="4" t="s">
        <v>177</v>
      </c>
      <c r="B32" s="4" t="s">
        <v>155</v>
      </c>
      <c r="C32" s="4" t="s">
        <v>178</v>
      </c>
      <c r="D32" s="4" t="s">
        <v>179</v>
      </c>
      <c r="E32" s="4" t="s">
        <v>180</v>
      </c>
      <c r="F32" s="4" t="s">
        <v>181</v>
      </c>
      <c r="G32" s="4" t="s">
        <v>20</v>
      </c>
      <c r="H32" s="4"/>
      <c r="I32" s="5" t="n">
        <v>2</v>
      </c>
      <c r="J32" s="5" t="s">
        <v>35</v>
      </c>
      <c r="K32" s="5"/>
      <c r="L32" s="4"/>
    </row>
    <row r="33" customFormat="false" ht="15" hidden="false" customHeight="false" outlineLevel="0" collapsed="false">
      <c r="A33" s="4" t="s">
        <v>182</v>
      </c>
      <c r="B33" s="4" t="s">
        <v>155</v>
      </c>
      <c r="C33" s="4" t="s">
        <v>183</v>
      </c>
      <c r="D33" s="4" t="s">
        <v>184</v>
      </c>
      <c r="E33" s="4" t="s">
        <v>185</v>
      </c>
      <c r="F33" s="4" t="s">
        <v>159</v>
      </c>
      <c r="G33" s="4" t="s">
        <v>20</v>
      </c>
      <c r="H33" s="4" t="s">
        <v>186</v>
      </c>
      <c r="I33" s="5" t="n">
        <v>2</v>
      </c>
      <c r="J33" s="5" t="s">
        <v>35</v>
      </c>
      <c r="K33" s="5"/>
      <c r="L33" s="6" t="s">
        <v>187</v>
      </c>
    </row>
    <row r="34" customFormat="false" ht="15" hidden="false" customHeight="false" outlineLevel="0" collapsed="false">
      <c r="A34" s="4" t="s">
        <v>188</v>
      </c>
      <c r="B34" s="4" t="s">
        <v>189</v>
      </c>
      <c r="C34" s="4" t="s">
        <v>190</v>
      </c>
      <c r="D34" s="4" t="s">
        <v>191</v>
      </c>
      <c r="E34" s="4" t="s">
        <v>192</v>
      </c>
      <c r="F34" s="4" t="s">
        <v>193</v>
      </c>
      <c r="G34" s="4" t="s">
        <v>55</v>
      </c>
      <c r="H34" s="4" t="s">
        <v>194</v>
      </c>
      <c r="I34" s="5" t="n">
        <v>1</v>
      </c>
      <c r="J34" s="5" t="s">
        <v>35</v>
      </c>
      <c r="K34" s="5"/>
      <c r="L34" s="4"/>
    </row>
    <row r="35" customFormat="false" ht="15" hidden="false" customHeight="false" outlineLevel="0" collapsed="false">
      <c r="A35" s="4" t="s">
        <v>195</v>
      </c>
      <c r="B35" s="4" t="s">
        <v>189</v>
      </c>
      <c r="C35" s="4" t="s">
        <v>196</v>
      </c>
      <c r="D35" s="4" t="s">
        <v>197</v>
      </c>
      <c r="E35" s="4" t="s">
        <v>198</v>
      </c>
      <c r="F35" s="4" t="s">
        <v>199</v>
      </c>
      <c r="G35" s="4" t="s">
        <v>55</v>
      </c>
      <c r="H35" s="4" t="s">
        <v>28</v>
      </c>
      <c r="I35" s="5" t="n">
        <v>2</v>
      </c>
      <c r="J35" s="5" t="s">
        <v>35</v>
      </c>
      <c r="K35" s="5"/>
      <c r="L35" s="4" t="s">
        <v>200</v>
      </c>
    </row>
    <row r="36" customFormat="false" ht="15" hidden="false" customHeight="false" outlineLevel="0" collapsed="false">
      <c r="A36" s="4" t="s">
        <v>201</v>
      </c>
      <c r="B36" s="4" t="s">
        <v>189</v>
      </c>
      <c r="C36" s="4" t="s">
        <v>202</v>
      </c>
      <c r="D36" s="4" t="s">
        <v>203</v>
      </c>
      <c r="E36" s="4" t="s">
        <v>204</v>
      </c>
      <c r="F36" s="4" t="s">
        <v>205</v>
      </c>
      <c r="G36" s="4" t="s">
        <v>55</v>
      </c>
      <c r="H36" s="4" t="s">
        <v>28</v>
      </c>
      <c r="I36" s="5" t="n">
        <v>4</v>
      </c>
      <c r="J36" s="5" t="s">
        <v>35</v>
      </c>
      <c r="K36" s="5"/>
      <c r="L36" s="4" t="s">
        <v>206</v>
      </c>
    </row>
    <row r="37" customFormat="false" ht="15" hidden="false" customHeight="false" outlineLevel="0" collapsed="false">
      <c r="A37" s="4" t="s">
        <v>207</v>
      </c>
      <c r="B37" s="4" t="s">
        <v>189</v>
      </c>
      <c r="C37" s="4" t="s">
        <v>208</v>
      </c>
      <c r="D37" s="4" t="s">
        <v>209</v>
      </c>
      <c r="E37" s="4" t="s">
        <v>210</v>
      </c>
      <c r="F37" s="4" t="s">
        <v>211</v>
      </c>
      <c r="G37" s="4" t="s">
        <v>55</v>
      </c>
      <c r="H37" s="4"/>
      <c r="I37" s="5" t="n">
        <v>2</v>
      </c>
      <c r="J37" s="5" t="s">
        <v>35</v>
      </c>
      <c r="K37" s="5"/>
      <c r="L37" s="4"/>
    </row>
    <row r="38" customFormat="false" ht="15" hidden="false" customHeight="false" outlineLevel="0" collapsed="false">
      <c r="A38" s="4" t="s">
        <v>212</v>
      </c>
      <c r="B38" s="4" t="s">
        <v>189</v>
      </c>
      <c r="C38" s="4" t="s">
        <v>213</v>
      </c>
      <c r="D38" s="4" t="s">
        <v>214</v>
      </c>
      <c r="E38" s="4" t="s">
        <v>215</v>
      </c>
      <c r="F38" s="4" t="s">
        <v>216</v>
      </c>
      <c r="G38" s="4" t="s">
        <v>55</v>
      </c>
      <c r="H38" s="4" t="s">
        <v>28</v>
      </c>
      <c r="I38" s="5" t="n">
        <v>1</v>
      </c>
      <c r="J38" s="5" t="s">
        <v>35</v>
      </c>
      <c r="K38" s="5"/>
      <c r="L38" s="4"/>
    </row>
    <row r="39" customFormat="false" ht="15" hidden="false" customHeight="false" outlineLevel="0" collapsed="false">
      <c r="A39" s="4" t="s">
        <v>217</v>
      </c>
      <c r="B39" s="4" t="s">
        <v>189</v>
      </c>
      <c r="C39" s="4" t="s">
        <v>218</v>
      </c>
      <c r="D39" s="4" t="s">
        <v>219</v>
      </c>
      <c r="E39" s="4" t="s">
        <v>220</v>
      </c>
      <c r="F39" s="4" t="s">
        <v>221</v>
      </c>
      <c r="G39" s="4" t="s">
        <v>85</v>
      </c>
      <c r="H39" s="4"/>
      <c r="I39" s="5" t="n">
        <v>5</v>
      </c>
      <c r="J39" s="5" t="s">
        <v>35</v>
      </c>
      <c r="K39" s="5"/>
      <c r="L39" s="4" t="s">
        <v>222</v>
      </c>
    </row>
    <row r="40" customFormat="false" ht="15" hidden="false" customHeight="false" outlineLevel="0" collapsed="false">
      <c r="A40" s="4" t="s">
        <v>223</v>
      </c>
      <c r="B40" s="4" t="s">
        <v>224</v>
      </c>
      <c r="C40" s="4" t="s">
        <v>225</v>
      </c>
      <c r="D40" s="4" t="s">
        <v>226</v>
      </c>
      <c r="E40" s="4" t="s">
        <v>227</v>
      </c>
      <c r="F40" s="4" t="s">
        <v>228</v>
      </c>
      <c r="G40" s="4" t="s">
        <v>20</v>
      </c>
      <c r="H40" s="4" t="s">
        <v>229</v>
      </c>
      <c r="I40" s="5" t="n">
        <v>10</v>
      </c>
      <c r="J40" s="5" t="s">
        <v>35</v>
      </c>
      <c r="K40" s="5"/>
      <c r="L40" s="4"/>
    </row>
    <row r="41" customFormat="false" ht="15" hidden="false" customHeight="false" outlineLevel="0" collapsed="false">
      <c r="A41" s="4" t="s">
        <v>230</v>
      </c>
      <c r="B41" s="4" t="s">
        <v>224</v>
      </c>
      <c r="C41" s="4" t="s">
        <v>231</v>
      </c>
      <c r="D41" s="4" t="s">
        <v>232</v>
      </c>
      <c r="E41" s="4" t="s">
        <v>233</v>
      </c>
      <c r="F41" s="4" t="s">
        <v>234</v>
      </c>
      <c r="G41" s="4" t="s">
        <v>55</v>
      </c>
      <c r="H41" s="4" t="s">
        <v>28</v>
      </c>
      <c r="I41" s="5" t="n">
        <v>3</v>
      </c>
      <c r="J41" s="5" t="s">
        <v>35</v>
      </c>
      <c r="K41" s="5"/>
      <c r="L41" s="4"/>
    </row>
    <row r="42" customFormat="false" ht="15" hidden="false" customHeight="false" outlineLevel="0" collapsed="false">
      <c r="A42" s="4" t="s">
        <v>235</v>
      </c>
      <c r="B42" s="4" t="s">
        <v>224</v>
      </c>
      <c r="C42" s="4" t="s">
        <v>236</v>
      </c>
      <c r="D42" s="4" t="s">
        <v>237</v>
      </c>
      <c r="E42" s="4" t="s">
        <v>238</v>
      </c>
      <c r="F42" s="4" t="s">
        <v>239</v>
      </c>
      <c r="G42" s="4" t="s">
        <v>55</v>
      </c>
      <c r="H42" s="4" t="s">
        <v>34</v>
      </c>
      <c r="I42" s="5" t="n">
        <v>1</v>
      </c>
      <c r="J42" s="5" t="s">
        <v>35</v>
      </c>
      <c r="K42" s="5"/>
      <c r="L42" s="4"/>
    </row>
    <row r="43" customFormat="false" ht="15" hidden="false" customHeight="false" outlineLevel="0" collapsed="false">
      <c r="A43" s="4" t="s">
        <v>240</v>
      </c>
      <c r="B43" s="4" t="s">
        <v>224</v>
      </c>
      <c r="C43" s="4" t="s">
        <v>241</v>
      </c>
      <c r="D43" s="4" t="s">
        <v>242</v>
      </c>
      <c r="E43" s="4" t="s">
        <v>243</v>
      </c>
      <c r="F43" s="4" t="s">
        <v>244</v>
      </c>
      <c r="G43" s="4" t="s">
        <v>55</v>
      </c>
      <c r="H43" s="4"/>
      <c r="I43" s="5" t="n">
        <v>1</v>
      </c>
      <c r="J43" s="5" t="s">
        <v>35</v>
      </c>
      <c r="K43" s="5"/>
      <c r="L43" s="4"/>
    </row>
  </sheetData>
  <autoFilter ref="A4:L43"/>
  <mergeCells count="1">
    <mergeCell ref="A2:L2"/>
  </mergeCells>
  <conditionalFormatting sqref="J5:J43">
    <cfRule type="cellIs" priority="2" operator="equal" aboveAverage="0" equalAverage="0" bottom="0" percent="0" rank="0" text="" dxfId="9">
      <formula>"เสร็จ"</formula>
    </cfRule>
    <cfRule type="cellIs" priority="3" operator="equal" aboveAverage="0" equalAverage="0" bottom="0" percent="0" rank="0" text="" dxfId="10">
      <formula>"กำลังทำ"</formula>
    </cfRule>
    <cfRule type="cellIs" priority="4" operator="equal" aboveAverage="0" equalAverage="0" bottom="0" percent="0" rank="0" text="" dxfId="11">
      <formula>"ติดปัญหา"</formula>
    </cfRule>
    <cfRule type="cellIs" priority="5" operator="equal" aboveAverage="0" equalAverage="0" bottom="0" percent="0" rank="0" text="" dxfId="12">
      <formula>"รอตรวจ"</formula>
    </cfRule>
  </conditionalFormatting>
  <conditionalFormatting sqref="G5:G43">
    <cfRule type="cellIs" priority="6" operator="equal" aboveAverage="0" equalAverage="0" bottom="0" percent="0" rank="0" text="" dxfId="13">
      <formula>"สูง"</formula>
    </cfRule>
    <cfRule type="cellIs" priority="7" operator="equal" aboveAverage="0" equalAverage="0" bottom="0" percent="0" rank="0" text="" dxfId="14">
      <formula>"กลาง"</formula>
    </cfRule>
    <cfRule type="cellIs" priority="8" operator="equal" aboveAverage="0" equalAverage="0" bottom="0" percent="0" rank="0" text="" dxfId="15">
      <formula>"ต่ำ"</formula>
    </cfRule>
  </conditionalFormatting>
  <dataValidations count="2">
    <dataValidation allowBlank="false" errorStyle="stop" operator="between" showDropDown="false" showErrorMessage="false" showInputMessage="false" sqref="J5:J43" type="list">
      <formula1>"ยังไม่เริ่ม,กำลังทำ,รอตรวจ,เสร็จ,ติดปัญหา"</formula1>
      <formula2>0</formula2>
    </dataValidation>
    <dataValidation allowBlank="false" errorStyle="stop" operator="between" showDropDown="false" showErrorMessage="false" showInputMessage="false" sqref="G5:G43" type="list">
      <formula1>"สูง,กลาง,ต่ำ"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1" t="s">
        <v>245</v>
      </c>
    </row>
    <row r="3" customFormat="false" ht="15" hidden="false" customHeight="false" outlineLevel="0" collapsed="false">
      <c r="A3" s="7" t="s">
        <v>3</v>
      </c>
      <c r="B3" s="7" t="s">
        <v>246</v>
      </c>
      <c r="C3" s="7" t="s">
        <v>21</v>
      </c>
      <c r="D3" s="7" t="s">
        <v>247</v>
      </c>
      <c r="E3" s="7" t="s">
        <v>248</v>
      </c>
      <c r="F3" s="7" t="s">
        <v>249</v>
      </c>
      <c r="G3" s="7" t="s">
        <v>250</v>
      </c>
      <c r="H3" s="7" t="s">
        <v>251</v>
      </c>
    </row>
    <row r="4" customFormat="false" ht="15" hidden="false" customHeight="false" outlineLevel="0" collapsed="false">
      <c r="A4" s="8" t="s">
        <v>15</v>
      </c>
      <c r="B4" s="8" t="n">
        <f aca="false">COUNTIF(Roadmap!$B$5:$B$43,A4)</f>
        <v>6</v>
      </c>
      <c r="C4" s="8" t="n">
        <f aca="false">COUNTIFS(Roadmap!$B$5:$B$43,A4,Roadmap!$J$5:$J$43,"เสร็จ")</f>
        <v>2</v>
      </c>
      <c r="D4" s="8" t="n">
        <f aca="false">COUNTIFS(Roadmap!$B$5:$B$43,A4,Roadmap!$J$5:$J$43,"กำลังทำ")</f>
        <v>0</v>
      </c>
      <c r="E4" s="8" t="n">
        <f aca="false">COUNTIFS(Roadmap!$B$5:$B$43,A4,Roadmap!$J$5:$J$43,"ติดปัญหา")</f>
        <v>0</v>
      </c>
      <c r="F4" s="9" t="n">
        <f aca="false">IF(B4=0,0,C4/B4)</f>
        <v>0.333333333333333</v>
      </c>
      <c r="G4" s="10" t="n">
        <f aca="false">SUMIFS(Roadmap!$I$5:$I$43,Roadmap!$B$5:$B$43,A4)</f>
        <v>5.5</v>
      </c>
      <c r="H4" s="10" t="n">
        <f aca="false">G4-SUMIFS(Roadmap!$I$5:$I$43,Roadmap!$B$5:$B$43,A4,Roadmap!$J$5:$J$43,"เสร็จ")</f>
        <v>4.5</v>
      </c>
    </row>
    <row r="5" customFormat="false" ht="15" hidden="false" customHeight="false" outlineLevel="0" collapsed="false">
      <c r="A5" s="8" t="s">
        <v>58</v>
      </c>
      <c r="B5" s="8" t="n">
        <f aca="false">COUNTIF(Roadmap!$B$5:$B$43,A5)</f>
        <v>5</v>
      </c>
      <c r="C5" s="8" t="n">
        <f aca="false">COUNTIFS(Roadmap!$B$5:$B$43,A5,Roadmap!$J$5:$J$43,"เสร็จ")</f>
        <v>0</v>
      </c>
      <c r="D5" s="8" t="n">
        <f aca="false">COUNTIFS(Roadmap!$B$5:$B$43,A5,Roadmap!$J$5:$J$43,"กำลังทำ")</f>
        <v>0</v>
      </c>
      <c r="E5" s="8" t="n">
        <f aca="false">COUNTIFS(Roadmap!$B$5:$B$43,A5,Roadmap!$J$5:$J$43,"ติดปัญหา")</f>
        <v>0</v>
      </c>
      <c r="F5" s="9" t="n">
        <f aca="false">IF(B5=0,0,C5/B5)</f>
        <v>0</v>
      </c>
      <c r="G5" s="10" t="n">
        <f aca="false">SUMIFS(Roadmap!$I$5:$I$43,Roadmap!$B$5:$B$43,A5)</f>
        <v>3.75</v>
      </c>
      <c r="H5" s="10" t="n">
        <f aca="false">G5-SUMIFS(Roadmap!$I$5:$I$43,Roadmap!$B$5:$B$43,A5,Roadmap!$J$5:$J$43,"เสร็จ")</f>
        <v>3.75</v>
      </c>
    </row>
    <row r="6" customFormat="false" ht="15" hidden="false" customHeight="false" outlineLevel="0" collapsed="false">
      <c r="A6" s="8" t="s">
        <v>88</v>
      </c>
      <c r="B6" s="8" t="n">
        <f aca="false">COUNTIF(Roadmap!$B$5:$B$43,A6)</f>
        <v>3</v>
      </c>
      <c r="C6" s="8" t="n">
        <f aca="false">COUNTIFS(Roadmap!$B$5:$B$43,A6,Roadmap!$J$5:$J$43,"เสร็จ")</f>
        <v>0</v>
      </c>
      <c r="D6" s="8" t="n">
        <f aca="false">COUNTIFS(Roadmap!$B$5:$B$43,A6,Roadmap!$J$5:$J$43,"กำลังทำ")</f>
        <v>0</v>
      </c>
      <c r="E6" s="8" t="n">
        <f aca="false">COUNTIFS(Roadmap!$B$5:$B$43,A6,Roadmap!$J$5:$J$43,"ติดปัญหา")</f>
        <v>0</v>
      </c>
      <c r="F6" s="9" t="n">
        <f aca="false">IF(B6=0,0,C6/B6)</f>
        <v>0</v>
      </c>
      <c r="G6" s="10" t="n">
        <f aca="false">SUMIFS(Roadmap!$I$5:$I$43,Roadmap!$B$5:$B$43,A6)</f>
        <v>4</v>
      </c>
      <c r="H6" s="10" t="n">
        <f aca="false">G6-SUMIFS(Roadmap!$I$5:$I$43,Roadmap!$B$5:$B$43,A6,Roadmap!$J$5:$J$43,"เสร็จ")</f>
        <v>4</v>
      </c>
    </row>
    <row r="7" customFormat="false" ht="15" hidden="false" customHeight="false" outlineLevel="0" collapsed="false">
      <c r="A7" s="8" t="s">
        <v>106</v>
      </c>
      <c r="B7" s="8" t="n">
        <f aca="false">COUNTIF(Roadmap!$B$5:$B$43,A7)</f>
        <v>4</v>
      </c>
      <c r="C7" s="8" t="n">
        <f aca="false">COUNTIFS(Roadmap!$B$5:$B$43,A7,Roadmap!$J$5:$J$43,"เสร็จ")</f>
        <v>0</v>
      </c>
      <c r="D7" s="8" t="n">
        <f aca="false">COUNTIFS(Roadmap!$B$5:$B$43,A7,Roadmap!$J$5:$J$43,"กำลังทำ")</f>
        <v>0</v>
      </c>
      <c r="E7" s="8" t="n">
        <f aca="false">COUNTIFS(Roadmap!$B$5:$B$43,A7,Roadmap!$J$5:$J$43,"ติดปัญหา")</f>
        <v>0</v>
      </c>
      <c r="F7" s="9" t="n">
        <f aca="false">IF(B7=0,0,C7/B7)</f>
        <v>0</v>
      </c>
      <c r="G7" s="10" t="n">
        <f aca="false">SUMIFS(Roadmap!$I$5:$I$43,Roadmap!$B$5:$B$43,A7)</f>
        <v>5</v>
      </c>
      <c r="H7" s="10" t="n">
        <f aca="false">G7-SUMIFS(Roadmap!$I$5:$I$43,Roadmap!$B$5:$B$43,A7,Roadmap!$J$5:$J$43,"เสร็จ")</f>
        <v>5</v>
      </c>
    </row>
    <row r="8" customFormat="false" ht="15" hidden="false" customHeight="false" outlineLevel="0" collapsed="false">
      <c r="A8" s="8" t="s">
        <v>128</v>
      </c>
      <c r="B8" s="8" t="n">
        <f aca="false">COUNTIF(Roadmap!$B$5:$B$43,A8)</f>
        <v>5</v>
      </c>
      <c r="C8" s="8" t="n">
        <f aca="false">COUNTIFS(Roadmap!$B$5:$B$43,A8,Roadmap!$J$5:$J$43,"เสร็จ")</f>
        <v>0</v>
      </c>
      <c r="D8" s="8" t="n">
        <f aca="false">COUNTIFS(Roadmap!$B$5:$B$43,A8,Roadmap!$J$5:$J$43,"กำลังทำ")</f>
        <v>0</v>
      </c>
      <c r="E8" s="8" t="n">
        <f aca="false">COUNTIFS(Roadmap!$B$5:$B$43,A8,Roadmap!$J$5:$J$43,"ติดปัญหา")</f>
        <v>0</v>
      </c>
      <c r="F8" s="9" t="n">
        <f aca="false">IF(B8=0,0,C8/B8)</f>
        <v>0</v>
      </c>
      <c r="G8" s="10" t="n">
        <f aca="false">SUMIFS(Roadmap!$I$5:$I$43,Roadmap!$B$5:$B$43,A8)</f>
        <v>11</v>
      </c>
      <c r="H8" s="10" t="n">
        <f aca="false">G8-SUMIFS(Roadmap!$I$5:$I$43,Roadmap!$B$5:$B$43,A8,Roadmap!$J$5:$J$43,"เสร็จ")</f>
        <v>11</v>
      </c>
    </row>
    <row r="9" customFormat="false" ht="15" hidden="false" customHeight="false" outlineLevel="0" collapsed="false">
      <c r="A9" s="8" t="s">
        <v>155</v>
      </c>
      <c r="B9" s="8" t="n">
        <f aca="false">COUNTIF(Roadmap!$B$5:$B$43,A9)</f>
        <v>6</v>
      </c>
      <c r="C9" s="8" t="n">
        <f aca="false">COUNTIFS(Roadmap!$B$5:$B$43,A9,Roadmap!$J$5:$J$43,"เสร็จ")</f>
        <v>0</v>
      </c>
      <c r="D9" s="8" t="n">
        <f aca="false">COUNTIFS(Roadmap!$B$5:$B$43,A9,Roadmap!$J$5:$J$43,"กำลังทำ")</f>
        <v>0</v>
      </c>
      <c r="E9" s="8" t="n">
        <f aca="false">COUNTIFS(Roadmap!$B$5:$B$43,A9,Roadmap!$J$5:$J$43,"ติดปัญหา")</f>
        <v>0</v>
      </c>
      <c r="F9" s="9" t="n">
        <f aca="false">IF(B9=0,0,C9/B9)</f>
        <v>0</v>
      </c>
      <c r="G9" s="10" t="n">
        <f aca="false">SUMIFS(Roadmap!$I$5:$I$43,Roadmap!$B$5:$B$43,A9)</f>
        <v>12</v>
      </c>
      <c r="H9" s="10" t="n">
        <f aca="false">G9-SUMIFS(Roadmap!$I$5:$I$43,Roadmap!$B$5:$B$43,A9,Roadmap!$J$5:$J$43,"เสร็จ")</f>
        <v>12</v>
      </c>
    </row>
    <row r="10" customFormat="false" ht="15" hidden="false" customHeight="false" outlineLevel="0" collapsed="false">
      <c r="A10" s="8" t="s">
        <v>189</v>
      </c>
      <c r="B10" s="8" t="n">
        <f aca="false">COUNTIF(Roadmap!$B$5:$B$43,A10)</f>
        <v>6</v>
      </c>
      <c r="C10" s="8" t="n">
        <f aca="false">COUNTIFS(Roadmap!$B$5:$B$43,A10,Roadmap!$J$5:$J$43,"เสร็จ")</f>
        <v>0</v>
      </c>
      <c r="D10" s="8" t="n">
        <f aca="false">COUNTIFS(Roadmap!$B$5:$B$43,A10,Roadmap!$J$5:$J$43,"กำลังทำ")</f>
        <v>0</v>
      </c>
      <c r="E10" s="8" t="n">
        <f aca="false">COUNTIFS(Roadmap!$B$5:$B$43,A10,Roadmap!$J$5:$J$43,"ติดปัญหา")</f>
        <v>0</v>
      </c>
      <c r="F10" s="9" t="n">
        <f aca="false">IF(B10=0,0,C10/B10)</f>
        <v>0</v>
      </c>
      <c r="G10" s="10" t="n">
        <f aca="false">SUMIFS(Roadmap!$I$5:$I$43,Roadmap!$B$5:$B$43,A10)</f>
        <v>15</v>
      </c>
      <c r="H10" s="10" t="n">
        <f aca="false">G10-SUMIFS(Roadmap!$I$5:$I$43,Roadmap!$B$5:$B$43,A10,Roadmap!$J$5:$J$43,"เสร็จ")</f>
        <v>15</v>
      </c>
    </row>
    <row r="11" customFormat="false" ht="15" hidden="false" customHeight="false" outlineLevel="0" collapsed="false">
      <c r="A11" s="8" t="s">
        <v>224</v>
      </c>
      <c r="B11" s="8" t="n">
        <f aca="false">COUNTIF(Roadmap!$B$5:$B$43,A11)</f>
        <v>4</v>
      </c>
      <c r="C11" s="8" t="n">
        <f aca="false">COUNTIFS(Roadmap!$B$5:$B$43,A11,Roadmap!$J$5:$J$43,"เสร็จ")</f>
        <v>0</v>
      </c>
      <c r="D11" s="8" t="n">
        <f aca="false">COUNTIFS(Roadmap!$B$5:$B$43,A11,Roadmap!$J$5:$J$43,"กำลังทำ")</f>
        <v>0</v>
      </c>
      <c r="E11" s="8" t="n">
        <f aca="false">COUNTIFS(Roadmap!$B$5:$B$43,A11,Roadmap!$J$5:$J$43,"ติดปัญหา")</f>
        <v>0</v>
      </c>
      <c r="F11" s="9" t="n">
        <f aca="false">IF(B11=0,0,C11/B11)</f>
        <v>0</v>
      </c>
      <c r="G11" s="10" t="n">
        <f aca="false">SUMIFS(Roadmap!$I$5:$I$43,Roadmap!$B$5:$B$43,A11)</f>
        <v>15</v>
      </c>
      <c r="H11" s="10" t="n">
        <f aca="false">G11-SUMIFS(Roadmap!$I$5:$I$43,Roadmap!$B$5:$B$43,A11,Roadmap!$J$5:$J$43,"เสร็จ")</f>
        <v>15</v>
      </c>
    </row>
    <row r="12" customFormat="false" ht="15" hidden="false" customHeight="false" outlineLevel="0" collapsed="false">
      <c r="A12" s="11" t="s">
        <v>252</v>
      </c>
      <c r="B12" s="11" t="n">
        <f aca="false">SUM(B4:B11)</f>
        <v>39</v>
      </c>
      <c r="C12" s="11" t="n">
        <f aca="false">SUM(C4:C11)</f>
        <v>2</v>
      </c>
      <c r="D12" s="11" t="n">
        <f aca="false">SUM(D4:D11)</f>
        <v>0</v>
      </c>
      <c r="E12" s="11" t="n">
        <f aca="false">SUM(E4:E11)</f>
        <v>0</v>
      </c>
      <c r="F12" s="12" t="n">
        <f aca="false">IF(B12=0,0,C12/B12)</f>
        <v>0.0512820512820513</v>
      </c>
      <c r="G12" s="13" t="n">
        <f aca="false">SUM(G4:G11)</f>
        <v>71.25</v>
      </c>
      <c r="H12" s="13" t="n">
        <f aca="false">SUM(H4:H11)</f>
        <v>70.25</v>
      </c>
    </row>
    <row r="14" customFormat="false" ht="15" hidden="false" customHeight="false" outlineLevel="0" collapsed="false">
      <c r="A14" s="14" t="s">
        <v>253</v>
      </c>
    </row>
    <row r="15" customFormat="false" ht="15" hidden="false" customHeight="false" outlineLevel="0" collapsed="false">
      <c r="A15" s="15" t="s">
        <v>254</v>
      </c>
    </row>
    <row r="16" customFormat="false" ht="15" hidden="false" customHeight="false" outlineLevel="0" collapsed="false">
      <c r="A16" s="15" t="s">
        <v>255</v>
      </c>
    </row>
    <row r="17" customFormat="false" ht="15" hidden="false" customHeight="false" outlineLevel="0" collapsed="false">
      <c r="A17" s="15" t="s">
        <v>256</v>
      </c>
    </row>
  </sheetData>
  <conditionalFormatting sqref="F4:F11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{604A5DDA-5610-44D2-A4ED-D136F8BACF7E}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4A5DDA-5610-44D2-A4ED-D136F8BACF7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F4:F11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2026-09-25T01:34:44Z</dcterms:created>
  <dc:creator>openpyxl</dc:creator>
  <dc:description/>
  <dc:language>en-US</dc:language>
  <cp:lastModifiedBy/>
  <dcterms:modified xsi:type="dcterms:W3CDTF">2026-09-25T08:45:24Z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