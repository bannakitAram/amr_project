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Stopping_Distance_Calculator" sheetId="2" state="visible" r:id="rId2"/>
    <sheet xmlns:r="http://schemas.openxmlformats.org/officeDocument/2006/relationships" name="Test_Results_Log" sheetId="3" state="visible" r:id="rId3"/>
    <sheet xmlns:r="http://schemas.openxmlformats.org/officeDocument/2006/relationships" name="Summary_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40" customWidth="1" min="3" max="3"/>
    <col width="45" customWidth="1" min="4" max="4"/>
    <col width="35" customWidth="1" min="5" max="5"/>
    <col width="35" customWidth="1" min="6" max="6"/>
    <col width="20" customWidth="1" min="7" max="7"/>
    <col width="30" customWidth="1" min="8" max="8"/>
  </cols>
  <sheetData>
    <row r="1">
      <c r="A1" s="1" t="inlineStr">
        <is>
          <t>หมวด</t>
        </is>
      </c>
      <c r="B1" s="1" t="inlineStr">
        <is>
          <t>#</t>
        </is>
      </c>
      <c r="C1" s="1" t="inlineStr">
        <is>
          <t>รายการตรวจสอบ</t>
        </is>
      </c>
      <c r="D1" s="1" t="inlineStr">
        <is>
          <t>วิธีการทดสอบ/ตรวจสอบ</t>
        </is>
      </c>
      <c r="E1" s="1" t="inlineStr">
        <is>
          <t>เกณฑ์ผ่าน</t>
        </is>
      </c>
      <c r="F1" s="1" t="inlineStr">
        <is>
          <t>เกณฑ์ไม่ผ่าน</t>
        </is>
      </c>
      <c r="G1" s="1" t="inlineStr">
        <is>
          <t>ผลลัพธ์ (Pass/Fail)</t>
        </is>
      </c>
      <c r="H1" s="1" t="inlineStr">
        <is>
          <t>หมายเหตุ</t>
        </is>
      </c>
    </row>
    <row r="2">
      <c r="A2" s="2" t="inlineStr">
        <is>
          <t>1. โครงสร้างและฮาร์ดแวร์พื้นฐาน</t>
        </is>
      </c>
      <c r="B2" s="2" t="inlineStr">
        <is>
          <t>1.1</t>
        </is>
      </c>
      <c r="C2" s="2" t="inlineStr">
        <is>
          <t>ไม่มีขอบคมหรือจุดหนีบที่อันตราย</t>
        </is>
      </c>
      <c r="D2" s="2" t="inlineStr">
        <is>
          <t>ตรวจด้วยสายตาและสัมผัสรอบตัวรถ, โหลด, และจุดหมุน</t>
        </is>
      </c>
      <c r="E2" s="2" t="inlineStr">
        <is>
          <t>ไม่พบขอบคมหรือช่องหนีบ</t>
        </is>
      </c>
      <c r="F2" s="2" t="inlineStr">
        <is>
          <t>พบขอบคมหรือช่องหนีบ</t>
        </is>
      </c>
      <c r="G2" s="2" t="inlineStr"/>
      <c r="H2" s="2" t="inlineStr"/>
    </row>
    <row r="3">
      <c r="A3" s="2" t="inlineStr">
        <is>
          <t>1. โครงสร้างและฮาร์ดแวร์พื้นฐาน</t>
        </is>
      </c>
      <c r="B3" s="2" t="inlineStr">
        <is>
          <t>1.2</t>
        </is>
      </c>
      <c r="C3" s="2" t="inlineStr">
        <is>
          <t>ช่องว่างใต้ตัวรถป้องกันการหนีบเท้า</t>
        </is>
      </c>
      <c r="D3" s="2" t="inlineStr">
        <is>
          <t>วัดช่องว่างใต้รถ (ตาม ISO 3691-4)</t>
        </is>
      </c>
      <c r="E3" s="2" t="inlineStr">
        <is>
          <t>ช่องว่าง ≥120 มม. หรือ ≤25 มม.</t>
        </is>
      </c>
      <c r="F3" s="2" t="inlineStr">
        <is>
          <t>ช่องว่าง 25–120 มม.</t>
        </is>
      </c>
      <c r="G3" s="2" t="inlineStr"/>
      <c r="H3" s="2" t="inlineStr"/>
    </row>
    <row r="4">
      <c r="A4" s="2" t="inlineStr">
        <is>
          <t>1. โครงสร้างและฮาร์ดแวร์พื้นฐาน</t>
        </is>
      </c>
      <c r="B4" s="2" t="inlineStr">
        <is>
          <t>1.3</t>
        </is>
      </c>
      <c r="C4" s="2" t="inlineStr">
        <is>
          <t>ปุ่มหยุดฉุกเฉิน (E‑Stop) ติดตั้งและเข้าถึงได้</t>
        </is>
      </c>
      <c r="D4" s="2" t="inlineStr">
        <is>
          <t>ตรวจตำแหน่งและทดสอบกด E‑Stop ในโหมดต่าง ๆ</t>
        </is>
      </c>
      <c r="E4" s="2" t="inlineStr">
        <is>
          <t>E‑Stop ทำงานทันที, เข้าถึงได้จากทุกมุม</t>
        </is>
      </c>
      <c r="F4" s="2" t="inlineStr">
        <is>
          <t>E‑Stop ไม่ทำงานหรือเข้าถึงยาก</t>
        </is>
      </c>
      <c r="G4" s="2" t="inlineStr"/>
      <c r="H4" s="2" t="inlineStr"/>
    </row>
    <row r="5">
      <c r="A5" s="2" t="inlineStr">
        <is>
          <t>1. โครงสร้างและฮาร์ดแวร์พื้นฐาน</t>
        </is>
      </c>
      <c r="B5" s="2" t="inlineStr">
        <is>
          <t>1.4</t>
        </is>
      </c>
      <c r="C5" s="2" t="inlineStr">
        <is>
          <t>บัมเปอร์หรือ supplementary contact protection</t>
        </is>
      </c>
      <c r="D5" s="2" t="inlineStr">
        <is>
          <t>ตรวจการติดตั้งและทดสอบกดบัมเปอร์</t>
        </is>
      </c>
      <c r="E5" s="2" t="inlineStr">
        <is>
          <t>บัมเปอร์ทำงานและหยุดรถก่อนอันตราย</t>
        </is>
      </c>
      <c r="F5" s="2" t="inlineStr">
        <is>
          <t>ไม่มีบัมเปอร์หรือไม่ทำงาน</t>
        </is>
      </c>
      <c r="G5" s="2" t="inlineStr"/>
      <c r="H5" s="2" t="inlineStr"/>
    </row>
    <row r="6">
      <c r="A6" s="2" t="inlineStr">
        <is>
          <t>2. ระบบตรวจจับและหลีกเลี่ยงสิ่งกีดขวาง</t>
        </is>
      </c>
      <c r="B6" s="2" t="inlineStr">
        <is>
          <t>2.1</t>
        </is>
      </c>
      <c r="C6" s="2" t="inlineStr">
        <is>
          <t>ตรวจจับบุคคลใน Protective Field</t>
        </is>
      </c>
      <c r="D6" s="2" t="inlineStr">
        <is>
          <t>วาง test piece ทรงกระบอก 200×�00 มม. ในเส้นทาง</t>
        </is>
      </c>
      <c r="E6" s="2" t="inlineStr">
        <is>
          <t>รถหยุดก่อนสัมผัสทุกครั้ง</t>
        </is>
      </c>
      <c r="F6" s="2" t="inlineStr">
        <is>
          <t>ชนหรือหยุดช้า</t>
        </is>
      </c>
      <c r="G6" s="2" t="inlineStr"/>
      <c r="H6" s="2" t="inlineStr"/>
    </row>
    <row r="7">
      <c r="A7" s="2" t="inlineStr">
        <is>
          <t>2. ระบบตรวจจับและหลีกเลี่ยงสิ่งกีดขวาง</t>
        </is>
      </c>
      <c r="B7" s="2" t="inlineStr">
        <is>
          <t>2.2</t>
        </is>
      </c>
      <c r="C7" s="2" t="inlineStr">
        <is>
          <t>ตรวจจับวัตถุเตี้ย/คนนอน</t>
        </is>
      </c>
      <c r="D7" s="2" t="inlineStr">
        <is>
          <t>วาง test piece ทรงกระบอก 70×´00 มม. แนวนอน</t>
        </is>
      </c>
      <c r="E7" s="2" t="inlineStr">
        <is>
          <t>รถหยุดก่อนสัมผัสทุกครั้ง</t>
        </is>
      </c>
      <c r="F7" s="2" t="inlineStr">
        <is>
          <t>ชนหรือหยุดช้า</t>
        </is>
      </c>
      <c r="G7" s="2" t="inlineStr"/>
      <c r="H7" s="2" t="inlineStr"/>
    </row>
    <row r="8">
      <c r="A8" s="2" t="inlineStr">
        <is>
          <t>2. ระบบตรวจจับและหลีกเลี่ยงสิ่งกีดขวาง</t>
        </is>
      </c>
      <c r="B8" s="2" t="inlineStr">
        <is>
          <t>2.3</t>
        </is>
      </c>
      <c r="C8" s="2" t="inlineStr">
        <is>
          <t>Warning Field ลดความเร็ว</t>
        </is>
      </c>
      <c r="D8" s="2" t="inlineStr">
        <is>
          <t>วางวัตถุใน Warning Field</t>
        </is>
      </c>
      <c r="E8" s="2" t="inlineStr">
        <is>
          <t>รถลดความเร็วและส่งสัญญาณเตือน</t>
        </is>
      </c>
      <c r="F8" s="2" t="inlineStr">
        <is>
          <t>ไม่ลดความเร็วหรือไม่เตือน</t>
        </is>
      </c>
      <c r="G8" s="2" t="inlineStr"/>
      <c r="H8" s="2" t="inlineStr"/>
    </row>
    <row r="9">
      <c r="A9" s="2" t="inlineStr">
        <is>
          <t>2. ระบบตรวจจับและหลีกเลี่ยงสิ่งกีดขวาง</t>
        </is>
      </c>
      <c r="B9" s="2" t="inlineStr">
        <is>
          <t>2.4</t>
        </is>
      </c>
      <c r="C9" s="2" t="inlineStr">
        <is>
          <t>ตรวจจับตลอดความกว้างของโหลด</t>
        </is>
      </c>
      <c r="D9" s="2" t="inlineStr">
        <is>
          <t>วาง test piece ที่ขอบซ้าย/ขวาของโหลด</t>
        </is>
      </c>
      <c r="E9" s="2" t="inlineStr">
        <is>
          <t>ตรวจจับและหยุดทุกครั้ง</t>
        </is>
      </c>
      <c r="F9" s="2" t="inlineStr">
        <is>
          <t>ไม่ตรวจจับบางจุด</t>
        </is>
      </c>
      <c r="G9" s="2" t="inlineStr"/>
      <c r="H9" s="2" t="inlineStr"/>
    </row>
    <row r="10">
      <c r="A10" s="2" t="inlineStr">
        <is>
          <t>2. ระบบตรวจจับและหลีกเลี่ยงสิ่งกีดขวาง</t>
        </is>
      </c>
      <c r="B10" s="2" t="inlineStr">
        <is>
          <t>2.5</t>
        </is>
      </c>
      <c r="C10" s="2" t="inlineStr">
        <is>
          <t>Safety Laser Scanner ได้ SIL 2/PLd</t>
        </is>
      </c>
      <c r="D10" s="2" t="inlineStr">
        <is>
          <t>ตรวจสอบใบรับรองและเอกสาร</t>
        </is>
      </c>
      <c r="E10" s="2" t="inlineStr">
        <is>
          <t>มีใบรับรอง SIL 2/PLd</t>
        </is>
      </c>
      <c r="F10" s="2" t="inlineStr">
        <is>
          <t>ไม่มีหรือต่ำกว่า</t>
        </is>
      </c>
      <c r="G10" s="2" t="inlineStr"/>
      <c r="H10" s="2" t="inlineStr"/>
    </row>
    <row r="11">
      <c r="A11" s="2" t="inlineStr">
        <is>
          <t>3. ฟังก์ชันความปลอดภัย</t>
        </is>
      </c>
      <c r="B11" s="2" t="inlineStr">
        <is>
          <t>3.1</t>
        </is>
      </c>
      <c r="C11" s="2" t="inlineStr">
        <is>
          <t>Emergency Stop ได้ PL ตาม ISO 13849-1</t>
        </is>
      </c>
      <c r="D11" s="2" t="inlineStr">
        <is>
          <t>ตรวจสอบเอกสารและทดสอบ</t>
        </is>
      </c>
      <c r="E11" s="2" t="inlineStr">
        <is>
          <t>PL ≥ PLc</t>
        </is>
      </c>
      <c r="F11" s="2" t="inlineStr">
        <is>
          <t>PL ต่ำกว่าหรือไม่ระบุ</t>
        </is>
      </c>
      <c r="G11" s="2" t="inlineStr"/>
      <c r="H11" s="2" t="inlineStr"/>
    </row>
    <row r="12">
      <c r="A12" s="2" t="inlineStr">
        <is>
          <t>3. ฟังก์ชันความปลอดภัย</t>
        </is>
      </c>
      <c r="B12" s="2" t="inlineStr">
        <is>
          <t>3.2</t>
        </is>
      </c>
      <c r="C12" s="2" t="inlineStr">
        <is>
          <t>Safety-related parts of control systems (SRP/CS)</t>
        </is>
      </c>
      <c r="D12" s="2" t="inlineStr">
        <is>
          <t>ตรวจสอบสถาปัตยกรรมและประเมิน PL/SIL</t>
        </is>
      </c>
      <c r="E12" s="2" t="inlineStr">
        <is>
          <t>PL/SIL ตามข้อกำหนด</t>
        </is>
      </c>
      <c r="F12" s="2" t="inlineStr">
        <is>
          <t>ไม่ผ่าน</t>
        </is>
      </c>
      <c r="G12" s="2" t="inlineStr"/>
      <c r="H12" s="2" t="inlineStr"/>
    </row>
    <row r="13">
      <c r="A13" s="2" t="inlineStr">
        <is>
          <t>3. ฟังก์ชันความปลอดภัย</t>
        </is>
      </c>
      <c r="B13" s="2" t="inlineStr">
        <is>
          <t>3.3</t>
        </is>
      </c>
      <c r="C13" s="2" t="inlineStr">
        <is>
          <t>การเปลี่ยนโหมด (Auto/Manual/Maintenance) ปลอดภัย</t>
        </is>
      </c>
      <c r="D13" s="2" t="inlineStr">
        <is>
          <t>ทดสอบเปลี่ยนโหมดในสถานการณ์ต่าง ๆ</t>
        </is>
      </c>
      <c r="E13" s="2" t="inlineStr">
        <is>
          <t>เปลี่ยนโหมดได้โดยไม่เกิดอันตราย</t>
        </is>
      </c>
      <c r="F13" s="2" t="inlineStr">
        <is>
          <t>เปลี่ยนโหมดแล้วเกิดความเสี่ยง</t>
        </is>
      </c>
      <c r="G13" s="2" t="inlineStr"/>
      <c r="H13" s="2" t="inlineStr"/>
    </row>
    <row r="14">
      <c r="A14" s="2" t="inlineStr">
        <is>
          <t>3. ฟังก์ชันความปลอดภัย</t>
        </is>
      </c>
      <c r="B14" s="2" t="inlineStr">
        <is>
          <t>3.4</t>
        </is>
      </c>
      <c r="C14" s="2" t="inlineStr">
        <is>
          <t>การสูญเสียโลคัลไลเซชัน</t>
        </is>
      </c>
      <c r="D14" s="2" t="inlineStr">
        <is>
          <t>ปิดเซนเซอร์หรือจำลองสัญญาณหาย</t>
        </is>
      </c>
      <c r="E14" s="2" t="inlineStr">
        <is>
          <t>รถหยุดหรือเข้าสู่ safe state</t>
        </is>
      </c>
      <c r="F14" s="2" t="inlineStr">
        <is>
          <t>รถเคลื่อนที่ต่อโดยไม่ควบคุม</t>
        </is>
      </c>
      <c r="G14" s="2" t="inlineStr"/>
      <c r="H14" s="2" t="inlineStr"/>
    </row>
    <row r="15">
      <c r="A15" s="2" t="inlineStr">
        <is>
          <t>4. การจัดการความเร็วและโหลด</t>
        </is>
      </c>
      <c r="B15" s="2" t="inlineStr">
        <is>
          <t>4.1</t>
        </is>
      </c>
      <c r="C15" s="2" t="inlineStr">
        <is>
          <t>ความเร็วสูงสุดตามพื้นที่ปฏิบัติงาน</t>
        </is>
      </c>
      <c r="D15" s="2" t="inlineStr">
        <is>
          <t>วัดความเร็วในโหมดอัตโนมัติ</t>
        </is>
      </c>
      <c r="E15" s="2" t="inlineStr">
        <is>
          <t>ไม่เกินค่าที่กำหนดสำหรับพื้นที่</t>
        </is>
      </c>
      <c r="F15" s="2" t="inlineStr">
        <is>
          <t>เกินค่าที่กำหนด</t>
        </is>
      </c>
      <c r="G15" s="2" t="inlineStr"/>
      <c r="H15" s="2" t="inlineStr"/>
    </row>
    <row r="16">
      <c r="A16" s="2" t="inlineStr">
        <is>
          <t>4. การจัดการความเร็วและโหลด</t>
        </is>
      </c>
      <c r="B16" s="2" t="inlineStr">
        <is>
          <t>4.2</t>
        </is>
      </c>
      <c r="C16" s="2" t="inlineStr">
        <is>
          <t>เสถียรภาพภายใต้โหลดสูงสุด</t>
        </is>
      </c>
      <c r="D16" s="2" t="inlineStr">
        <is>
          <t>ทดสอบเคลื่อนที่ด้วยโหลดสูงสุด</t>
        </is>
      </c>
      <c r="E16" s="2" t="inlineStr">
        <is>
          <t>ไม่ล้มหรือเอียงเกินเกณฑ์</t>
        </is>
      </c>
      <c r="F16" s="2" t="inlineStr">
        <is>
          <t>ล้มหรือเอียงมาก</t>
        </is>
      </c>
      <c r="G16" s="2" t="inlineStr"/>
      <c r="H16" s="2" t="inlineStr"/>
    </row>
    <row r="17">
      <c r="A17" s="2" t="inlineStr">
        <is>
          <t>4. การจัดการความเร็วและโหลด</t>
        </is>
      </c>
      <c r="B17" s="2" t="inlineStr">
        <is>
          <t>4.3</t>
        </is>
      </c>
      <c r="C17" s="2" t="inlineStr">
        <is>
          <t>ระยะหยุด (Stopping Distance)</t>
        </is>
      </c>
      <c r="D17" s="2" t="inlineStr">
        <is>
          <t>คำนวณและทดสอบหยุดจากความเร็วสูงสุด</t>
        </is>
      </c>
      <c r="E17" s="2" t="inlineStr">
        <is>
          <t>หยุดภายในระยะที่คำนวณ</t>
        </is>
      </c>
      <c r="F17" s="2" t="inlineStr">
        <is>
          <t>หยุดช้ากว่าระยะที่คำนวณ</t>
        </is>
      </c>
      <c r="G17" s="2" t="inlineStr"/>
      <c r="H17" s="2" t="inlineStr"/>
    </row>
    <row r="18">
      <c r="A18" s="2" t="inlineStr">
        <is>
          <t>5. ระบบพลังงานและการชาร์จ</t>
        </is>
      </c>
      <c r="B18" s="2" t="inlineStr">
        <is>
          <t>5.1</t>
        </is>
      </c>
      <c r="C18" s="2" t="inlineStr">
        <is>
          <t>BMS ทำงานปกติ (แรงดันเซลล์, อุณหภูมิ, กระแส)</t>
        </is>
      </c>
      <c r="D18" s="2" t="inlineStr">
        <is>
          <t>ตรวจสอบ log BMS</t>
        </is>
      </c>
      <c r="E18" s="2" t="inlineStr">
        <is>
          <t>ไม่พบ cell imbalance &gt;50 mV, อุณหภูมิปกติ</t>
        </is>
      </c>
      <c r="F18" s="2" t="inlineStr">
        <is>
          <t>พบ imbalance หรืออุณหภูมิสูง</t>
        </is>
      </c>
      <c r="G18" s="2" t="inlineStr"/>
      <c r="H18" s="2" t="inlineStr"/>
    </row>
    <row r="19">
      <c r="A19" s="2" t="inlineStr">
        <is>
          <t>5. ระบบพลังงานและการชาร์จ</t>
        </is>
      </c>
      <c r="B19" s="2" t="inlineStr">
        <is>
          <t>5.2</t>
        </is>
      </c>
      <c r="C19" s="2" t="inlineStr">
        <is>
          <t>การชาร์จปลอดภัย (contact/inductive)</t>
        </is>
      </c>
      <c r="D19" s="2" t="inlineStr">
        <is>
          <t>ทดสอบชาร์จและตรวจสอบการตัดเมื่อเต็ม</t>
        </is>
      </c>
      <c r="E19" s="2" t="inlineStr">
        <is>
          <t>ชาร์จเต็มและตัดอัตโนมัติ</t>
        </is>
      </c>
      <c r="F19" s="2" t="inlineStr">
        <is>
          <t>ชาร์จไม่เต็มหรือไม่ตัด</t>
        </is>
      </c>
      <c r="G19" s="2" t="inlineStr"/>
      <c r="H19" s="2" t="inlineStr"/>
    </row>
    <row r="20">
      <c r="A20" s="2" t="inlineStr">
        <is>
          <t>5. ระบบพลังงานและการชาร์จ</t>
        </is>
      </c>
      <c r="B20" s="2" t="inlineStr">
        <is>
          <t>5.3</t>
        </is>
      </c>
      <c r="C20" s="2" t="inlineStr">
        <is>
          <t>ระบบระบายความร้อนแบตเตอรี่</t>
        </is>
      </c>
      <c r="D20" s="2" t="inlineStr">
        <is>
          <t>ตรวจสอบพัดลม/liquid cooling</t>
        </is>
      </c>
      <c r="E20" s="2" t="inlineStr">
        <is>
          <t>ทำงานปกติ, อุณหภูมิ &lt;45 °C</t>
        </is>
      </c>
      <c r="F20" s="2" t="inlineStr">
        <is>
          <t>ร้อนเกินหรือพัดลมไม่ทำงาน</t>
        </is>
      </c>
      <c r="G20" s="2" t="inlineStr"/>
      <c r="H20" s="2" t="inlineStr"/>
    </row>
    <row r="21">
      <c r="A21" s="2" t="inlineStr">
        <is>
          <t>5. ระบบพลังงานและการชาร์จ</t>
        </is>
      </c>
      <c r="B21" s="2" t="inlineStr">
        <is>
          <t>5.4</t>
        </is>
      </c>
      <c r="C21" s="2" t="inlineStr">
        <is>
          <t>SoC ไม่ต่ำกว่า 20% ก่อนเริ่มงาน</t>
        </is>
      </c>
      <c r="D21" s="2" t="inlineStr">
        <is>
          <t>ตรวจสอบระดับประจุก่อนเริ่มงาน</t>
        </is>
      </c>
      <c r="E21" s="2" t="inlineStr">
        <is>
          <t>SoC ≥20%</t>
        </is>
      </c>
      <c r="F21" s="2" t="inlineStr">
        <is>
          <t>SoC &lt;20%</t>
        </is>
      </c>
      <c r="G21" s="2" t="inlineStr"/>
      <c r="H21" s="2" t="inlineStr"/>
    </row>
    <row r="22">
      <c r="A22" s="2" t="inlineStr">
        <is>
          <t>6. การประเมินความเสี่ยงและการลดภัย</t>
        </is>
      </c>
      <c r="B22" s="2" t="inlineStr">
        <is>
          <t>6.1</t>
        </is>
      </c>
      <c r="C22" s="2" t="inlineStr">
        <is>
          <t>ทำ Risk Assessment ครบทุกโหมด</t>
        </is>
      </c>
      <c r="D22" s="2" t="inlineStr">
        <is>
          <t>ตรวจสอบเอกสาร risk assessment</t>
        </is>
      </c>
      <c r="E22" s="2" t="inlineStr">
        <is>
          <t>ครอบคลุม Auto/Manual/Maintenance</t>
        </is>
      </c>
      <c r="F22" s="2" t="inlineStr">
        <is>
          <t>ไม่ครบหรือไม่ทำ</t>
        </is>
      </c>
      <c r="G22" s="2" t="inlineStr"/>
      <c r="H22" s="2" t="inlineStr"/>
    </row>
    <row r="23">
      <c r="A23" s="2" t="inlineStr">
        <is>
          <t>6. การประเมินความเสี่ยงและการลดภัย</t>
        </is>
      </c>
      <c r="B23" s="2" t="inlineStr">
        <is>
          <t>6.2</t>
        </is>
      </c>
      <c r="C23" s="2" t="inlineStr">
        <is>
          <t>ลดความเสี่ยงตามลำดับ (ออกแบบ→ป้องกัน→เตือน)</t>
        </is>
      </c>
      <c r="D23" s="2" t="inlineStr">
        <is>
          <t>ตรวจสอบมาตรการลดความเสี่ยง</t>
        </is>
      </c>
      <c r="E23" s="2" t="inlineStr">
        <is>
          <t>ปฏิบัติตามลำดับ</t>
        </is>
      </c>
      <c r="F23" s="2" t="inlineStr">
        <is>
          <t>ข้ามขั้นตอน</t>
        </is>
      </c>
      <c r="G23" s="2" t="inlineStr"/>
      <c r="H23" s="2" t="inlineStr"/>
    </row>
    <row r="24">
      <c r="A24" s="2" t="inlineStr">
        <is>
          <t>6. การประเมินความเสี่ยงและการลดภัย</t>
        </is>
      </c>
      <c r="B24" s="2" t="inlineStr">
        <is>
          <t>6.3</t>
        </is>
      </c>
      <c r="C24" s="2" t="inlineStr">
        <is>
          <t>มีแผนฉุกเฉิน (Emergency Plan)</t>
        </is>
      </c>
      <c r="D24" s="2" t="inlineStr">
        <is>
          <t>ตรวจสอบเอกสารและทดสอบ</t>
        </is>
      </c>
      <c r="E24" s="2" t="inlineStr">
        <is>
          <t>มีแผนและทดสอบแล้ว</t>
        </is>
      </c>
      <c r="F24" s="2" t="inlineStr">
        <is>
          <t>ไม่มีแผนหรือไม่ทดสอบ</t>
        </is>
      </c>
      <c r="G24" s="2" t="inlineStr"/>
      <c r="H24" s="2" t="inlineStr"/>
    </row>
    <row r="25">
      <c r="A25" s="2" t="inlineStr">
        <is>
          <t>7. เอกสารและการรับรอง</t>
        </is>
      </c>
      <c r="B25" s="2" t="inlineStr">
        <is>
          <t>7.1</t>
        </is>
      </c>
      <c r="C25" s="2" t="inlineStr">
        <is>
          <t>มีเอกสารเทคนิคครบ (คู่มือ, แผนผัง, BMS log)</t>
        </is>
      </c>
      <c r="D25" s="2" t="inlineStr">
        <is>
          <t>ตรวจสอบเอกสาร</t>
        </is>
      </c>
      <c r="E25" s="2" t="inlineStr">
        <is>
          <t>ครบถ้วน</t>
        </is>
      </c>
      <c r="F25" s="2" t="inlineStr">
        <is>
          <t>ขาดเอกสารสำคัญ</t>
        </is>
      </c>
      <c r="G25" s="2" t="inlineStr"/>
      <c r="H25" s="2" t="inlineStr"/>
    </row>
    <row r="26">
      <c r="A26" s="2" t="inlineStr">
        <is>
          <t>7. เอกสารและการรับรอง</t>
        </is>
      </c>
      <c r="B26" s="2" t="inlineStr">
        <is>
          <t>7.2</t>
        </is>
      </c>
      <c r="C26" s="2" t="inlineStr">
        <is>
          <t>มี EU Declaration of Conformity (ถ้าใช้ CE)</t>
        </is>
      </c>
      <c r="D26" s="2" t="inlineStr">
        <is>
          <t>ตรวจสอบเอกสาร</t>
        </is>
      </c>
      <c r="E26" s="2" t="inlineStr">
        <is>
          <t>มีและถูกต้อง</t>
        </is>
      </c>
      <c r="F26" s="2" t="inlineStr">
        <is>
          <t>ไม่มีหรือไม่ถูกต้อง</t>
        </is>
      </c>
      <c r="G26" s="2" t="inlineStr"/>
      <c r="H26" s="2" t="inlineStr"/>
    </row>
    <row r="27">
      <c r="A27" s="2" t="inlineStr">
        <is>
          <t>7. เอกสารและการรับรอง</t>
        </is>
      </c>
      <c r="B27" s="2" t="inlineStr">
        <is>
          <t>7.3</t>
        </is>
      </c>
      <c r="C27" s="2" t="inlineStr">
        <is>
          <t>มีใบรับรอง Safety Laser Scanner (SIL 2/PLd)</t>
        </is>
      </c>
      <c r="D27" s="2" t="inlineStr">
        <is>
          <t>ตรวจสอบใบรับรอง</t>
        </is>
      </c>
      <c r="E27" s="2" t="inlineStr">
        <is>
          <t>มีและถูกต้อง</t>
        </is>
      </c>
      <c r="F27" s="2" t="inlineStr">
        <is>
          <t>ไม่มีหรือหมดอายุ</t>
        </is>
      </c>
      <c r="G27" s="2" t="inlineStr"/>
      <c r="H27" s="2" t="inlineStr"/>
    </row>
    <row r="28">
      <c r="A28" s="2" t="inlineStr">
        <is>
          <t>7. เอกสารและการรับรอง</t>
        </is>
      </c>
      <c r="B28" s="2" t="inlineStr">
        <is>
          <t>7.4</t>
        </is>
      </c>
      <c r="C28" s="2" t="inlineStr">
        <is>
          <t>มีบันทึกการบำรุงรักษาและทดสอบ</t>
        </is>
      </c>
      <c r="D28" s="2" t="inlineStr">
        <is>
          <t>ตรวจสอบ log การบำรุงรักษา</t>
        </is>
      </c>
      <c r="E28" s="2" t="inlineStr">
        <is>
          <t>มีบันทึกครบ</t>
        </is>
      </c>
      <c r="F28" s="2" t="inlineStr">
        <is>
          <t>ไม่มีบันทึก</t>
        </is>
      </c>
      <c r="G28" s="2" t="inlineStr"/>
      <c r="H28" s="2" t="inlineStr"/>
    </row>
    <row r="29">
      <c r="A29" s="2" t="inlineStr">
        <is>
          <t>8. การทดสอบภาคสนาม</t>
        </is>
      </c>
      <c r="B29" s="2" t="inlineStr">
        <is>
          <t>8.1</t>
        </is>
      </c>
      <c r="C29" s="2" t="inlineStr">
        <is>
          <t>ทดสอบเส้นทางจริง (รวมทางแยกบอด)</t>
        </is>
      </c>
      <c r="D29" s="2" t="inlineStr">
        <is>
          <t>ให้รถวิ่งเส้นทางจริง</t>
        </is>
      </c>
      <c r="E29" s="2" t="inlineStr">
        <is>
          <t>ปลอดภัยตลอดเส้นทาง</t>
        </is>
      </c>
      <c r="F29" s="2" t="inlineStr">
        <is>
          <t>มีจุดเสี่ยงหรือชน</t>
        </is>
      </c>
      <c r="G29" s="2" t="inlineStr"/>
      <c r="H29" s="2" t="inlineStr"/>
    </row>
    <row r="30">
      <c r="A30" s="2" t="inlineStr">
        <is>
          <t>8. การทดสอบภาคสนาม</t>
        </is>
      </c>
      <c r="B30" s="2" t="inlineStr">
        <is>
          <t>8.2</t>
        </is>
      </c>
      <c r="C30" s="2" t="inlineStr">
        <is>
          <t>ทดสอบจุดชาร์จและ docking</t>
        </is>
      </c>
      <c r="D30" s="2" t="inlineStr">
        <is>
          <t>ทดสอบชาร์จและ docking ซ้ำ 10 ครั้ง</t>
        </is>
      </c>
      <c r="E30" s="2" t="inlineStr">
        <is>
          <t>สำเร็จ 10/10</t>
        </is>
      </c>
      <c r="F30" s="2" t="inlineStr">
        <is>
          <t>ล้มเหลว ≥1 ครั้ง</t>
        </is>
      </c>
      <c r="G30" s="2" t="inlineStr"/>
      <c r="H30" s="2" t="inlineStr"/>
    </row>
    <row r="31">
      <c r="A31" s="2" t="inlineStr">
        <is>
          <t>8. การทดสอบภาคสนาม</t>
        </is>
      </c>
      <c r="B31" s="2" t="inlineStr">
        <is>
          <t>8.3</t>
        </is>
      </c>
      <c r="C31" s="2" t="inlineStr">
        <is>
          <t>ทดสอบการทำงานร่วมกับมนุษย์</t>
        </is>
      </c>
      <c r="D31" s="2" t="inlineStr">
        <is>
          <t>ให้คนเดินผ่านเส้นทางรถ</t>
        </is>
      </c>
      <c r="E31" s="2" t="inlineStr">
        <is>
          <t>รถหยุดหรือลดความเร็วปลอดภัย</t>
        </is>
      </c>
      <c r="F31" s="2" t="inlineStr">
        <is>
          <t>ไม่ตอบสนองหรืออันตราย</t>
        </is>
      </c>
      <c r="G31" s="2" t="inlineStr"/>
      <c r="H31" s="2" t="inlineStr"/>
    </row>
    <row r="32">
      <c r="A32" s="2" t="inlineStr">
        <is>
          <t>8. การทดสอบภาคสนาม</t>
        </is>
      </c>
      <c r="B32" s="2" t="inlineStr">
        <is>
          <t>8.4</t>
        </is>
      </c>
      <c r="C32" s="2" t="inlineStr">
        <is>
          <t>ทดสอบโหมดแมนนวลและบำรุงรักษา</t>
        </is>
      </c>
      <c r="D32" s="2" t="inlineStr">
        <is>
          <t>ทดสอบเปลี่ยนโหมดและทำงาน</t>
        </is>
      </c>
      <c r="E32" s="2" t="inlineStr">
        <is>
          <t>ปลอดภัยในทุกโหมด</t>
        </is>
      </c>
      <c r="F32" s="2" t="inlineStr">
        <is>
          <t>มีความเสี่ยง</t>
        </is>
      </c>
      <c r="G32" s="2" t="inlineStr"/>
      <c r="H3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45" customWidth="1" min="4" max="4"/>
  </cols>
  <sheetData>
    <row r="1">
      <c r="A1" s="1" t="inlineStr">
        <is>
          <t>พารามิเตอร์</t>
        </is>
      </c>
      <c r="B1" s="1" t="inlineStr">
        <is>
          <t>ค่าที่ป้อน</t>
        </is>
      </c>
      <c r="C1" s="1" t="inlineStr">
        <is>
          <t>หน่วย</t>
        </is>
      </c>
      <c r="D1" s="1" t="inlineStr">
        <is>
          <t>สูตร/หมายเหตุ</t>
        </is>
      </c>
    </row>
    <row r="2">
      <c r="A2" s="2" t="inlineStr">
        <is>
          <t>ความเร็วสูงสุด (v)</t>
        </is>
      </c>
      <c r="B2" s="2" t="inlineStr"/>
      <c r="C2" s="2" t="inlineStr">
        <is>
          <t>m/s</t>
        </is>
      </c>
      <c r="D2" s="2" t="inlineStr">
        <is>
          <t>ป้อนค่าความเร็วสูงสุดของ AMR</t>
        </is>
      </c>
    </row>
    <row r="3">
      <c r="A3" s="2" t="inlineStr">
        <is>
          <t>เวลาตอบสนองระบบ (t_response)</t>
        </is>
      </c>
      <c r="B3" s="2" t="inlineStr"/>
      <c r="C3" s="2" t="inlineStr">
        <is>
          <t>s</t>
        </is>
      </c>
      <c r="D3" s="2" t="inlineStr">
        <is>
          <t>เวลาจากตรวจจับถึงเริ่มเบรก (รวม latency)</t>
        </is>
      </c>
    </row>
    <row r="4">
      <c r="A4" s="2" t="inlineStr">
        <is>
          <t>ความเร่งในการเบรก (a_brake)</t>
        </is>
      </c>
      <c r="B4" s="2" t="inlineStr"/>
      <c r="C4" s="2" t="inlineStr">
        <is>
          <t>m/s^2</t>
        </is>
      </c>
      <c r="D4" s="2" t="inlineStr">
        <is>
          <t>ค่าความเร่งลบขณะเบรก (ใช้ค่าบวกในสูตร)</t>
        </is>
      </c>
    </row>
    <row r="5">
      <c r="A5" s="2" t="inlineStr">
        <is>
          <t>ระยะหยุดคำนวณ (s_total)</t>
        </is>
      </c>
      <c r="B5" s="2">
        <f>B2*B3 + (B2^2)/(2*B4)</f>
        <v/>
      </c>
      <c r="C5" s="2" t="inlineStr">
        <is>
          <t>m</t>
        </is>
      </c>
      <c r="D5" s="2" t="inlineStr">
        <is>
          <t>s = v*t + v^2/(2*a)</t>
        </is>
      </c>
    </row>
    <row r="6">
      <c r="A6" s="2" t="inlineStr"/>
      <c r="B6" s="2" t="inlineStr"/>
      <c r="C6" s="2" t="inlineStr"/>
      <c r="D6" s="2" t="inlineStr"/>
    </row>
    <row r="7">
      <c r="A7" s="2" t="inlineStr">
        <is>
          <t>ระยะหยุดที่ทดสอบจริง</t>
        </is>
      </c>
      <c r="B7" s="2" t="inlineStr"/>
      <c r="C7" s="2" t="inlineStr">
        <is>
          <t>m</t>
        </is>
      </c>
      <c r="D7" s="2" t="inlineStr">
        <is>
          <t>วัดจากการทดสอบจริง</t>
        </is>
      </c>
    </row>
    <row r="8">
      <c r="A8" s="2" t="inlineStr">
        <is>
          <t>ผ่าน/ไม่ผ่าน</t>
        </is>
      </c>
      <c r="B8" s="2">
        <f>IF(B6&lt;=B5,"ผ่าน","ไม่ผ่าน")</f>
        <v/>
      </c>
      <c r="C8" s="2" t="inlineStr"/>
      <c r="D8" s="2" t="inlineStr">
        <is>
          <t>เปรียบเทียบระยะจริงกับคำนวณ</t>
        </is>
      </c>
    </row>
    <row r="9">
      <c r="A9" s="2" t="inlineStr"/>
      <c r="B9" s="2" t="inlineStr"/>
      <c r="C9" s="2" t="inlineStr"/>
      <c r="D9" s="2" t="inlineStr"/>
    </row>
    <row r="10">
      <c r="A10" s="2" t="inlineStr">
        <is>
          <t>หมายเหตุ</t>
        </is>
      </c>
      <c r="B10" s="2" t="inlineStr"/>
      <c r="C10" s="2" t="inlineStr"/>
      <c r="D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35" customWidth="1" min="4" max="4"/>
    <col width="6" customWidth="1" min="5" max="5"/>
    <col width="40" customWidth="1" min="6" max="6"/>
    <col width="15" customWidth="1" min="7" max="7"/>
    <col width="20" customWidth="1" min="8" max="8"/>
    <col width="30" customWidth="1" min="9" max="9"/>
    <col width="30" customWidth="1" min="10" max="10"/>
  </cols>
  <sheetData>
    <row r="1">
      <c r="A1" s="1" t="inlineStr">
        <is>
          <t>วันที่ทดสอบ</t>
        </is>
      </c>
      <c r="B1" s="1" t="inlineStr">
        <is>
          <t>ผู้ทดสอบ</t>
        </is>
      </c>
      <c r="C1" s="1" t="inlineStr">
        <is>
          <t>AMR ID</t>
        </is>
      </c>
      <c r="D1" s="1" t="inlineStr">
        <is>
          <t>หมวด</t>
        </is>
      </c>
      <c r="E1" s="1" t="inlineStr">
        <is>
          <t>#</t>
        </is>
      </c>
      <c r="F1" s="1" t="inlineStr">
        <is>
          <t>รายการตรวจสอบ</t>
        </is>
      </c>
      <c r="G1" s="1" t="inlineStr">
        <is>
          <t>ผลลัพธ์ (Pass/Fail)</t>
        </is>
      </c>
      <c r="H1" s="1" t="inlineStr">
        <is>
          <t>ค่าที่วัดได้</t>
        </is>
      </c>
      <c r="I1" s="1" t="inlineStr">
        <is>
          <t>หมายเหตุ</t>
        </is>
      </c>
      <c r="J1" s="1" t="inlineStr">
        <is>
          <t>การแก้ไข (ถ้ามี)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</cols>
  <sheetData>
    <row r="1">
      <c r="A1" s="1" t="inlineStr">
        <is>
          <t>สรุปผลการตรวจสอบ</t>
        </is>
      </c>
      <c r="B1" s="1" t="inlineStr">
        <is>
          <t>ค่า</t>
        </is>
      </c>
      <c r="C1" s="1" t="inlineStr">
        <is>
          <t>เกณฑ์</t>
        </is>
      </c>
    </row>
    <row r="2">
      <c r="A2" s="2" t="inlineStr">
        <is>
          <t>จำนวนข้อตรวจสอบทั้งหมด</t>
        </is>
      </c>
      <c r="B2" s="2">
        <f>COUNTA(Checklist!A:A)-1</f>
        <v/>
      </c>
      <c r="C2" s="2" t="inlineStr"/>
    </row>
    <row r="3">
      <c r="A3" s="2" t="inlineStr">
        <is>
          <t>จำนวนข้อที่ผ่าน</t>
        </is>
      </c>
      <c r="B3" s="2">
        <f>COUNTIF(Checklist!G:G,"ผ่าน")</f>
        <v/>
      </c>
      <c r="C3" s="2" t="inlineStr"/>
    </row>
    <row r="4">
      <c r="A4" s="2" t="inlineStr">
        <is>
          <t>จำนวนข้อที่ไม่ผ่าน</t>
        </is>
      </c>
      <c r="B4" s="2">
        <f>COUNTIF(Checklist!G:G,"ไม่ผ่าน")</f>
        <v/>
      </c>
      <c r="C4" s="2" t="inlineStr"/>
    </row>
    <row r="5">
      <c r="A5" s="2" t="inlineStr">
        <is>
          <t>จำนวนข้อที่ยังไม่ได้ตรวจสอบ</t>
        </is>
      </c>
      <c r="B5" s="2">
        <f>COUNTIF(Checklist!G:G,"")</f>
        <v/>
      </c>
      <c r="C5" s="2" t="inlineStr"/>
    </row>
    <row r="6">
      <c r="A6" s="2" t="inlineStr"/>
      <c r="B6" s="2" t="inlineStr"/>
      <c r="C6" s="2" t="inlineStr"/>
    </row>
    <row r="7">
      <c r="A7" s="2" t="inlineStr">
        <is>
          <t>ผลการประเมินรวม</t>
        </is>
      </c>
      <c r="B7" s="2">
        <f>IF(C3=0,"ผ่าน",IF(C3&lt;=3,"ผ่านแบบมีเงื่อนไข","ไม่ผ่าน"))</f>
        <v/>
      </c>
      <c r="C7" s="2" t="inlineStr">
        <is>
          <t>ผ่าน/ผ่านแบบมีเงื่อนไข/ไม่ผ่าน</t>
        </is>
      </c>
    </row>
    <row r="8">
      <c r="A8" s="2" t="inlineStr"/>
      <c r="B8" s="2" t="inlineStr"/>
      <c r="C8" s="2" t="inlineStr"/>
    </row>
    <row r="9">
      <c r="A9" s="2" t="inlineStr">
        <is>
          <t>หมายเหตุ</t>
        </is>
      </c>
      <c r="B9" s="2" t="inlineStr"/>
      <c r="C9" s="2" t="inlineStr"/>
    </row>
    <row r="10">
      <c r="A10" s="2" t="inlineStr"/>
      <c r="B10" s="2" t="inlineStr"/>
      <c r="C10" s="2" t="inlineStr"/>
    </row>
    <row r="11">
      <c r="A11" s="2" t="inlineStr">
        <is>
          <t>คำแนะนำ:</t>
        </is>
      </c>
      <c r="B11" s="2" t="inlineStr"/>
      <c r="C11" s="2" t="inlineStr"/>
    </row>
    <row r="12">
      <c r="A12" s="2" t="inlineStr">
        <is>
          <t>- ผ่าน: ทุกข้อผ่านเกณฑ์</t>
        </is>
      </c>
      <c r="B12" s="2" t="inlineStr"/>
      <c r="C12" s="2" t="inlineStr"/>
    </row>
    <row r="13">
      <c r="A13" s="2" t="inlineStr">
        <is>
          <t>- ผ่านแบบมีเงื่อนไข: ไม่ผ่าน ≤3 ข้อ และไม่มีข้อวิกฤต (2.1, 2.2, 3.1)</t>
        </is>
      </c>
      <c r="B13" s="2" t="inlineStr"/>
      <c r="C13" s="2" t="inlineStr"/>
    </row>
    <row r="14">
      <c r="A14" s="2" t="inlineStr">
        <is>
          <t>- ไม่ผ่าน: ไม่ผ่าน &gt;3 ข้อ หรือมีข้อวิกฤตไม่ผ่าน</t>
        </is>
      </c>
      <c r="B14" s="2" t="inlineStr"/>
      <c r="C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2026-09-09T03:49:38Z</dcterms:created>
  <dcterms:modified xmlns:dcterms="http://purl.org/dc/terms/" xmlns:xsi="http://www.w3.org/2001/XMLSchema-instance" xsi:type="dcterms:W3CDTF">2026-09-09T03:49:38Z</dcterms:modified>
</cp:coreProperties>
</file>